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aml\Dropbox\Teaching\5140\Classes\09 C4b Better Off empirical (CQ3)\"/>
    </mc:Choice>
  </mc:AlternateContent>
  <xr:revisionPtr revIDLastSave="0" documentId="13_ncr:1_{43312235-AB13-4E64-8949-543CC69CEB99}" xr6:coauthVersionLast="47" xr6:coauthVersionMax="47" xr10:uidLastSave="{00000000-0000-0000-0000-000000000000}"/>
  <bookViews>
    <workbookView xWindow="-108" yWindow="-108" windowWidth="23256" windowHeight="12456" tabRatio="638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AA57" i="1"/>
  <c r="AA58" i="1" s="1"/>
  <c r="AA61" i="1" s="1"/>
  <c r="Y57" i="1"/>
  <c r="Y58" i="1" s="1"/>
  <c r="Y61" i="1" s="1"/>
  <c r="X57" i="1"/>
  <c r="X58" i="1" s="1"/>
  <c r="X61" i="1" s="1"/>
  <c r="W57" i="1"/>
  <c r="W58" i="1" s="1"/>
  <c r="W61" i="1" s="1"/>
  <c r="V57" i="1"/>
  <c r="V58" i="1" s="1"/>
  <c r="V61" i="1" s="1"/>
  <c r="AA56" i="1"/>
  <c r="AA60" i="1" s="1"/>
  <c r="Y56" i="1"/>
  <c r="Y60" i="1" s="1"/>
  <c r="X56" i="1"/>
  <c r="X60" i="1" s="1"/>
  <c r="W56" i="1"/>
  <c r="W60" i="1" s="1"/>
  <c r="V56" i="1"/>
  <c r="V60" i="1" s="1"/>
  <c r="N49" i="1"/>
  <c r="M49" i="1"/>
  <c r="L49" i="1"/>
  <c r="K49" i="1"/>
  <c r="N48" i="1"/>
  <c r="M48" i="1"/>
  <c r="L48" i="1"/>
  <c r="K48" i="1"/>
  <c r="J48" i="1"/>
  <c r="N47" i="1"/>
  <c r="M47" i="1"/>
  <c r="L47" i="1"/>
  <c r="J47" i="1"/>
  <c r="K47" i="1" s="1"/>
  <c r="N46" i="1"/>
  <c r="M46" i="1"/>
  <c r="L46" i="1"/>
  <c r="K46" i="1"/>
  <c r="J46" i="1"/>
  <c r="N45" i="1"/>
  <c r="M45" i="1"/>
  <c r="L45" i="1"/>
  <c r="J45" i="1"/>
  <c r="K45" i="1" s="1"/>
  <c r="N44" i="1"/>
  <c r="M44" i="1"/>
  <c r="L44" i="1"/>
  <c r="J44" i="1"/>
  <c r="K44" i="1" s="1"/>
  <c r="N43" i="1"/>
  <c r="M43" i="1"/>
  <c r="L43" i="1"/>
  <c r="J43" i="1"/>
  <c r="K43" i="1" s="1"/>
  <c r="N42" i="1"/>
  <c r="M42" i="1"/>
  <c r="L42" i="1"/>
  <c r="J42" i="1"/>
  <c r="K42" i="1" s="1"/>
  <c r="N41" i="1"/>
  <c r="M41" i="1"/>
  <c r="L41" i="1"/>
  <c r="K41" i="1"/>
  <c r="J41" i="1"/>
  <c r="N40" i="1"/>
  <c r="M40" i="1"/>
  <c r="L40" i="1"/>
  <c r="K40" i="1"/>
  <c r="J40" i="1"/>
  <c r="N39" i="1"/>
  <c r="M39" i="1"/>
  <c r="L39" i="1"/>
  <c r="K39" i="1"/>
  <c r="J39" i="1"/>
  <c r="N38" i="1"/>
  <c r="M38" i="1"/>
  <c r="L38" i="1"/>
  <c r="J38" i="1"/>
  <c r="K38" i="1" s="1"/>
  <c r="N37" i="1"/>
  <c r="M37" i="1"/>
  <c r="L37" i="1"/>
  <c r="J37" i="1"/>
  <c r="K37" i="1" s="1"/>
  <c r="N36" i="1"/>
  <c r="M36" i="1"/>
  <c r="L36" i="1"/>
  <c r="K36" i="1"/>
  <c r="J36" i="1"/>
  <c r="N35" i="1"/>
  <c r="M35" i="1"/>
  <c r="L35" i="1"/>
  <c r="J35" i="1"/>
  <c r="K35" i="1" s="1"/>
  <c r="N34" i="1"/>
  <c r="M34" i="1"/>
  <c r="L34" i="1"/>
  <c r="J34" i="1"/>
  <c r="K34" i="1" s="1"/>
  <c r="N33" i="1"/>
  <c r="M33" i="1"/>
  <c r="L33" i="1"/>
  <c r="K33" i="1"/>
  <c r="J33" i="1"/>
  <c r="N32" i="1"/>
  <c r="M32" i="1"/>
  <c r="L32" i="1"/>
  <c r="K32" i="1"/>
  <c r="J32" i="1"/>
  <c r="U56" i="1"/>
  <c r="U60" i="1" s="1"/>
  <c r="N31" i="1"/>
  <c r="M31" i="1"/>
  <c r="L31" i="1"/>
  <c r="K31" i="1"/>
  <c r="J31" i="1"/>
  <c r="N30" i="1"/>
  <c r="M30" i="1"/>
  <c r="L30" i="1"/>
  <c r="J30" i="1"/>
  <c r="K30" i="1" s="1"/>
  <c r="N29" i="1"/>
  <c r="M29" i="1"/>
  <c r="L29" i="1"/>
  <c r="J29" i="1"/>
  <c r="K29" i="1" s="1"/>
  <c r="N28" i="1"/>
  <c r="M28" i="1"/>
  <c r="L28" i="1"/>
  <c r="K28" i="1"/>
  <c r="J28" i="1"/>
  <c r="N27" i="1"/>
  <c r="M27" i="1"/>
  <c r="L27" i="1"/>
  <c r="J27" i="1"/>
  <c r="K27" i="1" s="1"/>
  <c r="N26" i="1"/>
  <c r="M26" i="1"/>
  <c r="L26" i="1"/>
  <c r="J26" i="1"/>
  <c r="K26" i="1" s="1"/>
  <c r="N25" i="1"/>
  <c r="M25" i="1"/>
  <c r="L25" i="1"/>
  <c r="K25" i="1"/>
  <c r="J25" i="1"/>
  <c r="N24" i="1"/>
  <c r="M24" i="1"/>
  <c r="L24" i="1"/>
  <c r="K24" i="1"/>
  <c r="J24" i="1"/>
  <c r="N23" i="1"/>
  <c r="M23" i="1"/>
  <c r="L23" i="1"/>
  <c r="J23" i="1"/>
  <c r="K23" i="1" s="1"/>
  <c r="N22" i="1"/>
  <c r="M22" i="1"/>
  <c r="L22" i="1"/>
  <c r="J22" i="1"/>
  <c r="K22" i="1" s="1"/>
  <c r="N21" i="1"/>
  <c r="M21" i="1"/>
  <c r="L21" i="1"/>
  <c r="J21" i="1"/>
  <c r="K21" i="1" s="1"/>
  <c r="N20" i="1"/>
  <c r="M20" i="1"/>
  <c r="L20" i="1"/>
  <c r="K20" i="1"/>
  <c r="J20" i="1"/>
  <c r="N19" i="1"/>
  <c r="M19" i="1"/>
  <c r="L19" i="1"/>
  <c r="J19" i="1"/>
  <c r="K19" i="1" s="1"/>
  <c r="N18" i="1"/>
  <c r="M18" i="1"/>
  <c r="L18" i="1"/>
  <c r="J18" i="1"/>
  <c r="K18" i="1" s="1"/>
  <c r="N17" i="1"/>
  <c r="M17" i="1"/>
  <c r="L17" i="1"/>
  <c r="J17" i="1"/>
  <c r="K17" i="1" s="1"/>
  <c r="N16" i="1"/>
  <c r="M16" i="1"/>
  <c r="L16" i="1"/>
  <c r="K16" i="1"/>
  <c r="J16" i="1"/>
  <c r="N15" i="1"/>
  <c r="M15" i="1"/>
  <c r="L15" i="1"/>
  <c r="J15" i="1"/>
  <c r="K15" i="1" s="1"/>
  <c r="N14" i="1"/>
  <c r="M14" i="1"/>
  <c r="L14" i="1"/>
  <c r="J14" i="1"/>
  <c r="K14" i="1" s="1"/>
  <c r="N13" i="1"/>
  <c r="M13" i="1"/>
  <c r="L13" i="1"/>
  <c r="J13" i="1"/>
  <c r="K13" i="1" s="1"/>
  <c r="N12" i="1"/>
  <c r="M12" i="1"/>
  <c r="L12" i="1"/>
  <c r="K12" i="1"/>
  <c r="J12" i="1"/>
  <c r="N11" i="1"/>
  <c r="M11" i="1"/>
  <c r="L11" i="1"/>
  <c r="J11" i="1"/>
  <c r="K11" i="1" s="1"/>
  <c r="N10" i="1"/>
  <c r="M10" i="1"/>
  <c r="L10" i="1"/>
  <c r="J10" i="1"/>
  <c r="K10" i="1" s="1"/>
  <c r="N9" i="1"/>
  <c r="M9" i="1"/>
  <c r="L9" i="1"/>
  <c r="J9" i="1"/>
  <c r="K9" i="1" s="1"/>
  <c r="N8" i="1"/>
  <c r="M8" i="1"/>
  <c r="L8" i="1"/>
  <c r="K8" i="1"/>
  <c r="J8" i="1"/>
  <c r="N7" i="1"/>
  <c r="M7" i="1"/>
  <c r="L7" i="1"/>
  <c r="J7" i="1"/>
  <c r="K7" i="1" s="1"/>
  <c r="N6" i="1"/>
  <c r="M6" i="1"/>
  <c r="L6" i="1"/>
  <c r="J6" i="1"/>
  <c r="K6" i="1" s="1"/>
  <c r="N5" i="1"/>
  <c r="M5" i="1"/>
  <c r="L5" i="1"/>
  <c r="J5" i="1"/>
  <c r="K5" i="1" s="1"/>
  <c r="N4" i="1"/>
  <c r="M4" i="1"/>
  <c r="L4" i="1"/>
  <c r="K4" i="1"/>
  <c r="J4" i="1"/>
  <c r="N3" i="1"/>
  <c r="M3" i="1"/>
  <c r="L3" i="1"/>
  <c r="J3" i="1"/>
  <c r="K3" i="1" s="1"/>
  <c r="U57" i="1" l="1"/>
  <c r="U58" i="1" s="1"/>
  <c r="U61" i="1" s="1"/>
</calcChain>
</file>

<file path=xl/sharedStrings.xml><?xml version="1.0" encoding="utf-8"?>
<sst xmlns="http://schemas.openxmlformats.org/spreadsheetml/2006/main" count="53" uniqueCount="50">
  <si>
    <t>Raw Data</t>
  </si>
  <si>
    <t>Intermediate Calculations</t>
  </si>
  <si>
    <t>Components of flow utility</t>
  </si>
  <si>
    <t>Cumulative change in wellbeing since 1979 (log points): compute V, W, X, Y and AA in your code</t>
  </si>
  <si>
    <t>GDP</t>
  </si>
  <si>
    <t>Parameters</t>
  </si>
  <si>
    <t>Year</t>
  </si>
  <si>
    <t>Real PCE (billions of chained dollars; FRED PCECCA)</t>
  </si>
  <si>
    <t>Real GDP (billions of chained dollars; FRED GDPCA)</t>
  </si>
  <si>
    <t>Midyear population (thousands)</t>
  </si>
  <si>
    <t>Persons employed (thousands)</t>
  </si>
  <si>
    <t>Annual hours worked per worker</t>
  </si>
  <si>
    <t>Gini coefficient (Census household money income, Table H-4)</t>
  </si>
  <si>
    <t>Life expectancy at birth (World Bank, FRED SPDYNLE00INUSA)</t>
  </si>
  <si>
    <t>Annual hours worked per person</t>
  </si>
  <si>
    <t>Leisure (share of 5,840 hours)</t>
  </si>
  <si>
    <t>Consumption per capita (units cancel below)</t>
  </si>
  <si>
    <t>Output per capita</t>
  </si>
  <si>
    <t>Variance of log consumption (lognormal, from Gini)</t>
  </si>
  <si>
    <t>Consumption per capita relative to 2007 (2007 = 1; Jones-Klenow normalization)</t>
  </si>
  <si>
    <t>Flow of utility  u = ubar + ln c + v(leisure) - var/2</t>
  </si>
  <si>
    <t>Log consumption (relative to 2007)</t>
  </si>
  <si>
    <t>Value of leisure v(leisure)</t>
  </si>
  <si>
    <t>(-1/2) x variance of log consumption</t>
  </si>
  <si>
    <t>Life expectancy (pct change x year-t flow utility)</t>
  </si>
  <si>
    <t>Consumption</t>
  </si>
  <si>
    <t>Leisure</t>
  </si>
  <si>
    <t>Inequality</t>
  </si>
  <si>
    <t>Log lambda = U + V + W + X</t>
  </si>
  <si>
    <t>Change in ln GDP per capita</t>
  </si>
  <si>
    <t>ubar (intercept in flow utility)</t>
  </si>
  <si>
    <t>epsilon (Frisch elasticity)</t>
  </si>
  <si>
    <t>theta (disutility from working)</t>
  </si>
  <si>
    <t>Consumption normalization year (ubar is calibrated with US consumption per capita = 1 in 2007; Jones-Klenow p. 2439)</t>
  </si>
  <si>
    <t>ubar is 5.00 in the paper and 5.2325 in the replication code that Bernanke-Olson use; theta is 14.2 in the paper</t>
  </si>
  <si>
    <t>Source:</t>
  </si>
  <si>
    <t>FRED PCECCA (fill in)</t>
  </si>
  <si>
    <t>FRED GDPCA (fill in)</t>
  </si>
  <si>
    <t>Conference Board TED</t>
  </si>
  <si>
    <t>Census Table H-4, all races (redesigned series for 2013 and 2017)</t>
  </si>
  <si>
    <t>World Bank via FRED; 2025 (bold) = 2024 carried forward</t>
  </si>
  <si>
    <t>Notes:</t>
  </si>
  <si>
    <t>Only differences of logs enter columns V, W, X and AA, so the chained-dollar base year cancels there. Column U multiplies the percent change in life expectancy by the LEVEL of flow utility, which is why consumption is first normalized to 2007 = 1 (column O).</t>
  </si>
  <si>
    <t>Bold cells are provisional: 2025 employment equals the 2024 value in the input file; 2025 life expectancy is carried forward from 2024.</t>
  </si>
  <si>
    <t>CHECK: cumulative log change since 1979</t>
  </si>
  <si>
    <t>1979-2007</t>
  </si>
  <si>
    <t>1979-2025</t>
  </si>
  <si>
    <t>2007-2025</t>
  </si>
  <si>
    <t>Sum check, all years (should be 0 once V-Y are computed)</t>
  </si>
  <si>
    <t>Average annual growth, percent per year: 1979-2007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</si>
</sst>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"/>
    <numFmt numFmtId="165" formatCode="_(* #,##0_);_(* \(#,##0\);_(* &quot;-&quot;??_);_(@_)"/>
    <numFmt numFmtId="166" formatCode="0.000"/>
    <numFmt numFmtId="167" formatCode="#,##0.000"/>
    <numFmt numFmtId="168" formatCode="_(* #,##0.000_);_(* \(#,##0.000\);_(* &quot;-&quot;??_);_(@_)"/>
    <numFmt numFmtId="169" formatCode="_(* #,##0.0_);_(* \(#,##0.0\);_(* &quot;-&quot;??_);_(@_)"/>
    <numFmt numFmtId="170" formatCode="#,##0.00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ourier New"/>
      <family val="3"/>
    </font>
    <font>
      <u/>
      <sz val="10.45"/>
      <color indexed="12"/>
      <name val="Courier New"/>
      <family val="3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u/>
      <sz val="11"/>
      <color theme="10"/>
      <name val="Cambria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2"/>
      <name val="Courier"/>
      <family val="3"/>
    </font>
    <font>
      <sz val="10"/>
      <color indexed="8"/>
      <name val="Arial"/>
      <family val="2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523">
    <xf numFmtId="0" fontId="0" fillId="0" borderId="0"/>
    <xf numFmtId="0" fontId="12" fillId="0" borderId="0"/>
    <xf numFmtId="0" fontId="3" fillId="0" borderId="0"/>
    <xf numFmtId="0" fontId="4" fillId="0" borderId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1" fillId="0" borderId="0"/>
    <xf numFmtId="0" fontId="9" fillId="0" borderId="0"/>
    <xf numFmtId="0" fontId="12" fillId="0" borderId="0"/>
    <xf numFmtId="0" fontId="10" fillId="0" borderId="0"/>
    <xf numFmtId="0" fontId="11" fillId="0" borderId="0"/>
    <xf numFmtId="0" fontId="12" fillId="0" borderId="0"/>
    <xf numFmtId="0" fontId="14" fillId="0" borderId="0"/>
    <xf numFmtId="43" fontId="12" fillId="0" borderId="0"/>
    <xf numFmtId="0" fontId="15" fillId="0" borderId="0"/>
    <xf numFmtId="0" fontId="15" fillId="0" borderId="0"/>
    <xf numFmtId="0" fontId="17" fillId="0" borderId="0"/>
    <xf numFmtId="0" fontId="12" fillId="0" borderId="0"/>
    <xf numFmtId="0" fontId="12" fillId="0" borderId="0"/>
    <xf numFmtId="9" fontId="12" fillId="0" borderId="0"/>
    <xf numFmtId="0" fontId="14" fillId="0" borderId="0"/>
    <xf numFmtId="0" fontId="12" fillId="0" borderId="0"/>
    <xf numFmtId="43" fontId="12" fillId="0" borderId="0"/>
    <xf numFmtId="43" fontId="12" fillId="0" borderId="0"/>
    <xf numFmtId="0" fontId="18" fillId="0" borderId="0">
      <alignment vertical="top"/>
      <protection locked="0"/>
    </xf>
    <xf numFmtId="0" fontId="12" fillId="0" borderId="0"/>
    <xf numFmtId="0" fontId="19" fillId="0" borderId="0"/>
    <xf numFmtId="9" fontId="1" fillId="0" borderId="0"/>
    <xf numFmtId="0" fontId="12" fillId="0" borderId="0"/>
    <xf numFmtId="0" fontId="1" fillId="0" borderId="0"/>
    <xf numFmtId="0" fontId="14" fillId="0" borderId="0"/>
    <xf numFmtId="0" fontId="20" fillId="0" borderId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2" fillId="0" borderId="0"/>
    <xf numFmtId="0" fontId="21" fillId="10" borderId="0"/>
    <xf numFmtId="0" fontId="21" fillId="14" borderId="0"/>
    <xf numFmtId="0" fontId="21" fillId="18" borderId="0"/>
    <xf numFmtId="0" fontId="21" fillId="22" borderId="0"/>
    <xf numFmtId="0" fontId="21" fillId="26" borderId="0"/>
    <xf numFmtId="0" fontId="21" fillId="30" borderId="0"/>
    <xf numFmtId="0" fontId="21" fillId="11" borderId="0"/>
    <xf numFmtId="0" fontId="21" fillId="15" borderId="0"/>
    <xf numFmtId="0" fontId="21" fillId="19" borderId="0"/>
    <xf numFmtId="0" fontId="21" fillId="23" borderId="0"/>
    <xf numFmtId="0" fontId="21" fillId="27" borderId="0"/>
    <xf numFmtId="0" fontId="21" fillId="31" borderId="0"/>
    <xf numFmtId="0" fontId="22" fillId="12" borderId="0"/>
    <xf numFmtId="0" fontId="22" fillId="16" borderId="0"/>
    <xf numFmtId="0" fontId="22" fillId="20" borderId="0"/>
    <xf numFmtId="0" fontId="22" fillId="24" borderId="0"/>
    <xf numFmtId="0" fontId="22" fillId="28" borderId="0"/>
    <xf numFmtId="0" fontId="22" fillId="32" borderId="0"/>
    <xf numFmtId="0" fontId="22" fillId="9" borderId="0"/>
    <xf numFmtId="0" fontId="22" fillId="13" borderId="0"/>
    <xf numFmtId="0" fontId="22" fillId="17" borderId="0"/>
    <xf numFmtId="0" fontId="22" fillId="21" borderId="0"/>
    <xf numFmtId="0" fontId="22" fillId="25" borderId="0"/>
    <xf numFmtId="0" fontId="22" fillId="29" borderId="0"/>
    <xf numFmtId="0" fontId="23" fillId="3" borderId="0"/>
    <xf numFmtId="0" fontId="24" fillId="6" borderId="4"/>
    <xf numFmtId="0" fontId="25" fillId="7" borderId="7"/>
    <xf numFmtId="43" fontId="9" fillId="0" borderId="0"/>
    <xf numFmtId="43" fontId="9" fillId="0" borderId="0"/>
    <xf numFmtId="43" fontId="9" fillId="0" borderId="0"/>
    <xf numFmtId="43" fontId="9" fillId="0" borderId="0"/>
    <xf numFmtId="43" fontId="12" fillId="0" borderId="0"/>
    <xf numFmtId="43" fontId="12" fillId="0" borderId="0"/>
    <xf numFmtId="3" fontId="12" fillId="0" borderId="0"/>
    <xf numFmtId="44" fontId="9" fillId="0" borderId="0"/>
    <xf numFmtId="44" fontId="9" fillId="0" borderId="0"/>
    <xf numFmtId="0" fontId="26" fillId="0" borderId="0"/>
    <xf numFmtId="0" fontId="27" fillId="2" borderId="0"/>
    <xf numFmtId="0" fontId="28" fillId="0" borderId="1"/>
    <xf numFmtId="0" fontId="29" fillId="0" borderId="2"/>
    <xf numFmtId="0" fontId="30" fillId="0" borderId="3"/>
    <xf numFmtId="0" fontId="30" fillId="0" borderId="0"/>
    <xf numFmtId="0" fontId="31" fillId="5" borderId="4"/>
    <xf numFmtId="0" fontId="32" fillId="0" borderId="6"/>
    <xf numFmtId="0" fontId="33" fillId="4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8" borderId="8"/>
    <xf numFmtId="0" fontId="1" fillId="8" borderId="8"/>
    <xf numFmtId="0" fontId="1" fillId="8" borderId="8"/>
    <xf numFmtId="0" fontId="21" fillId="8" borderId="8"/>
    <xf numFmtId="0" fontId="36" fillId="6" borderId="5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9" fillId="0" borderId="0"/>
    <xf numFmtId="9" fontId="12" fillId="0" borderId="0"/>
    <xf numFmtId="9" fontId="12" fillId="0" borderId="0"/>
    <xf numFmtId="0" fontId="37" fillId="0" borderId="9"/>
    <xf numFmtId="0" fontId="38" fillId="0" borderId="0"/>
    <xf numFmtId="0" fontId="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9" fontId="1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16" fillId="0" borderId="0"/>
    <xf numFmtId="0" fontId="14" fillId="0" borderId="0"/>
    <xf numFmtId="0" fontId="12" fillId="0" borderId="0"/>
    <xf numFmtId="0" fontId="39" fillId="0" borderId="0"/>
    <xf numFmtId="0" fontId="40" fillId="0" borderId="0"/>
    <xf numFmtId="0" fontId="14" fillId="0" borderId="0"/>
    <xf numFmtId="43" fontId="14" fillId="0" borderId="0"/>
    <xf numFmtId="9" fontId="14" fillId="0" borderId="0"/>
    <xf numFmtId="9" fontId="14" fillId="0" borderId="0"/>
    <xf numFmtId="43" fontId="14" fillId="0" borderId="0"/>
    <xf numFmtId="43" fontId="1" fillId="0" borderId="0"/>
    <xf numFmtId="9" fontId="1" fillId="0" borderId="0"/>
  </cellStyleXfs>
  <cellXfs count="25">
    <xf numFmtId="0" fontId="0" fillId="0" borderId="0" xfId="0"/>
    <xf numFmtId="164" fontId="6" fillId="0" borderId="0" xfId="0" applyNumberFormat="1" applyFont="1"/>
    <xf numFmtId="0" fontId="6" fillId="0" borderId="0" xfId="0" applyFont="1"/>
    <xf numFmtId="4" fontId="0" fillId="0" borderId="0" xfId="0" applyNumberFormat="1"/>
    <xf numFmtId="165" fontId="0" fillId="0" borderId="0" xfId="521" applyNumberFormat="1" applyFon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168" fontId="0" fillId="0" borderId="0" xfId="521" applyNumberFormat="1" applyFont="1" applyAlignment="1">
      <alignment horizontal="center" vertical="top" wrapText="1"/>
    </xf>
    <xf numFmtId="169" fontId="8" fillId="0" borderId="0" xfId="15" applyNumberFormat="1" applyFont="1" applyAlignment="1">
      <alignment horizontal="center"/>
    </xf>
    <xf numFmtId="0" fontId="0" fillId="0" borderId="10" xfId="0" applyBorder="1"/>
    <xf numFmtId="0" fontId="2" fillId="0" borderId="0" xfId="0" applyFont="1" applyAlignment="1">
      <alignment wrapText="1"/>
    </xf>
    <xf numFmtId="170" fontId="2" fillId="0" borderId="0" xfId="0" applyNumberFormat="1" applyFont="1" applyAlignment="1">
      <alignment wrapText="1"/>
    </xf>
    <xf numFmtId="9" fontId="0" fillId="0" borderId="0" xfId="522" applyFont="1"/>
    <xf numFmtId="9" fontId="0" fillId="0" borderId="0" xfId="0" applyNumberFormat="1"/>
    <xf numFmtId="0" fontId="0" fillId="0" borderId="0" xfId="0" applyAlignment="1">
      <alignment horizontal="center"/>
    </xf>
    <xf numFmtId="166" fontId="0" fillId="0" borderId="0" xfId="52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521" applyNumberFormat="1" applyFont="1" applyAlignment="1">
      <alignment horizontal="center" vertical="top" wrapText="1"/>
    </xf>
    <xf numFmtId="166" fontId="8" fillId="0" borderId="0" xfId="15" applyNumberFormat="1" applyFont="1" applyAlignment="1">
      <alignment horizontal="center"/>
    </xf>
    <xf numFmtId="165" fontId="41" fillId="0" borderId="0" xfId="521" applyNumberFormat="1" applyFont="1"/>
    <xf numFmtId="166" fontId="41" fillId="0" borderId="0" xfId="15" applyNumberFormat="1" applyFont="1" applyAlignment="1">
      <alignment horizontal="center"/>
    </xf>
    <xf numFmtId="166" fontId="0" fillId="0" borderId="0" xfId="522" applyNumberFormat="1" applyFont="1"/>
    <xf numFmtId="0" fontId="0" fillId="0" borderId="10" xfId="0" applyBorder="1" applyAlignment="1">
      <alignment horizontal="center"/>
    </xf>
    <xf numFmtId="0" fontId="0" fillId="0" borderId="10" xfId="0" applyBorder="1"/>
  </cellXfs>
  <cellStyles count="523">
    <cellStyle name="20% - Accent1 2" xfId="206" xr:uid="{00000000-0005-0000-0000-0000F6000000}"/>
    <cellStyle name="20% - Accent2 2" xfId="207" xr:uid="{00000000-0005-0000-0000-0000F7000000}"/>
    <cellStyle name="20% - Accent3 2" xfId="208" xr:uid="{00000000-0005-0000-0000-0000F8000000}"/>
    <cellStyle name="20% - Accent4 2" xfId="209" xr:uid="{00000000-0005-0000-0000-0000F9000000}"/>
    <cellStyle name="20% - Accent5 2" xfId="210" xr:uid="{00000000-0005-0000-0000-0000FA000000}"/>
    <cellStyle name="20% - Accent6 2" xfId="211" xr:uid="{00000000-0005-0000-0000-0000FB000000}"/>
    <cellStyle name="40% - Accent1 2" xfId="212" xr:uid="{00000000-0005-0000-0000-0000FC000000}"/>
    <cellStyle name="40% - Accent2 2" xfId="213" xr:uid="{00000000-0005-0000-0000-0000FD000000}"/>
    <cellStyle name="40% - Accent3 2" xfId="214" xr:uid="{00000000-0005-0000-0000-0000FE000000}"/>
    <cellStyle name="40% - Accent4 2" xfId="215" xr:uid="{00000000-0005-0000-0000-0000FF000000}"/>
    <cellStyle name="40% - Accent5 2" xfId="216" xr:uid="{00000000-0005-0000-0000-000000010000}"/>
    <cellStyle name="40% - Accent6 2" xfId="217" xr:uid="{00000000-0005-0000-0000-000001010000}"/>
    <cellStyle name="60% - Accent1 2" xfId="218" xr:uid="{00000000-0005-0000-0000-000002010000}"/>
    <cellStyle name="60% - Accent2 2" xfId="219" xr:uid="{00000000-0005-0000-0000-000003010000}"/>
    <cellStyle name="60% - Accent3 2" xfId="220" xr:uid="{00000000-0005-0000-0000-000004010000}"/>
    <cellStyle name="60% - Accent4 2" xfId="221" xr:uid="{00000000-0005-0000-0000-000005010000}"/>
    <cellStyle name="60% - Accent5 2" xfId="222" xr:uid="{00000000-0005-0000-0000-000006010000}"/>
    <cellStyle name="60% - Accent6 2" xfId="223" xr:uid="{00000000-0005-0000-0000-000007010000}"/>
    <cellStyle name="Accent1 2" xfId="224" xr:uid="{00000000-0005-0000-0000-000008010000}"/>
    <cellStyle name="Accent2 2" xfId="225" xr:uid="{00000000-0005-0000-0000-000009010000}"/>
    <cellStyle name="Accent3 2" xfId="226" xr:uid="{00000000-0005-0000-0000-00000A010000}"/>
    <cellStyle name="Accent4 2" xfId="227" xr:uid="{00000000-0005-0000-0000-00000B010000}"/>
    <cellStyle name="Accent5 2" xfId="228" xr:uid="{00000000-0005-0000-0000-00000C010000}"/>
    <cellStyle name="Accent6 2" xfId="229" xr:uid="{00000000-0005-0000-0000-00000D010000}"/>
    <cellStyle name="ANCLAS,REZONES Y SUS PARTES,DE FUNDICION,DE HIERRO O DE ACERO" xfId="1" xr:uid="{00000000-0005-0000-0000-000001000000}"/>
    <cellStyle name="Bad 2" xfId="230" xr:uid="{00000000-0005-0000-0000-00000E010000}"/>
    <cellStyle name="Calculation 2" xfId="231" xr:uid="{00000000-0005-0000-0000-00000F010000}"/>
    <cellStyle name="Check Cell 2" xfId="232" xr:uid="{00000000-0005-0000-0000-000010010000}"/>
    <cellStyle name="Comma" xfId="521" builtinId="3"/>
    <cellStyle name="Comma 2" xfId="17" xr:uid="{00000000-0005-0000-0000-000039000000}"/>
    <cellStyle name="Comma 2 2" xfId="26" xr:uid="{00000000-0005-0000-0000-000042000000}"/>
    <cellStyle name="Comma 2 3" xfId="233" xr:uid="{00000000-0005-0000-0000-000011010000}"/>
    <cellStyle name="Comma 2 4" xfId="234" xr:uid="{00000000-0005-0000-0000-000012010000}"/>
    <cellStyle name="Comma 2 5" xfId="235" xr:uid="{00000000-0005-0000-0000-000013010000}"/>
    <cellStyle name="Comma 2 6" xfId="236" xr:uid="{00000000-0005-0000-0000-000014010000}"/>
    <cellStyle name="Comma 2 7" xfId="517" xr:uid="{00000000-0005-0000-0000-00002D020000}"/>
    <cellStyle name="Comma 3" xfId="27" xr:uid="{00000000-0005-0000-0000-000043000000}"/>
    <cellStyle name="Comma 4" xfId="237" xr:uid="{00000000-0005-0000-0000-000015010000}"/>
    <cellStyle name="Comma 5" xfId="520" xr:uid="{00000000-0005-0000-0000-000030020000}"/>
    <cellStyle name="Comma 9" xfId="238" xr:uid="{00000000-0005-0000-0000-000016010000}"/>
    <cellStyle name="Comma0" xfId="239" xr:uid="{00000000-0005-0000-0000-000017010000}"/>
    <cellStyle name="Currency 2" xfId="240" xr:uid="{00000000-0005-0000-0000-000018010000}"/>
    <cellStyle name="Currency 3" xfId="241" xr:uid="{00000000-0005-0000-0000-000019010000}"/>
    <cellStyle name="Currency0" xfId="514" xr:uid="{00000000-0005-0000-0000-00002A020000}"/>
    <cellStyle name="Explanatory Text 2" xfId="242" xr:uid="{00000000-0005-0000-0000-00001A010000}"/>
    <cellStyle name="Good 2" xfId="243" xr:uid="{00000000-0005-0000-0000-00001B010000}"/>
    <cellStyle name="Heading 1 2" xfId="244" xr:uid="{00000000-0005-0000-0000-00001C010000}"/>
    <cellStyle name="Heading 2 2" xfId="245" xr:uid="{00000000-0005-0000-0000-00001D010000}"/>
    <cellStyle name="Heading 3 2" xfId="246" xr:uid="{00000000-0005-0000-0000-00001E010000}"/>
    <cellStyle name="Heading 4 2" xfId="247" xr:uid="{00000000-0005-0000-0000-00001F010000}"/>
    <cellStyle name="Hyperlink 2" xfId="3" xr:uid="{00000000-0005-0000-0000-000003000000}"/>
    <cellStyle name="Hyperlink 2 2" xfId="28" xr:uid="{00000000-0005-0000-0000-000044000000}"/>
    <cellStyle name="Hyperlink 3" xfId="14" xr:uid="{00000000-0005-0000-0000-000036000000}"/>
    <cellStyle name="Hyperlink 3 2" xfId="30" xr:uid="{00000000-0005-0000-0000-000046000000}"/>
    <cellStyle name="Hyperlink 4" xfId="35" xr:uid="{00000000-0005-0000-0000-00004B000000}"/>
    <cellStyle name="Hyperlink 5" xfId="327" xr:uid="{00000000-0005-0000-0000-00006F010000}"/>
    <cellStyle name="Hyperlink 6" xfId="511" xr:uid="{00000000-0005-0000-0000-000027020000}"/>
    <cellStyle name="Hyperlink 7" xfId="20" xr:uid="{00000000-0005-0000-0000-00003C000000}"/>
    <cellStyle name="Input 2" xfId="248" xr:uid="{00000000-0005-0000-0000-000020010000}"/>
    <cellStyle name="Linked Cell 2" xfId="249" xr:uid="{00000000-0005-0000-0000-000021010000}"/>
    <cellStyle name="Neutral 2" xfId="250" xr:uid="{00000000-0005-0000-0000-000022010000}"/>
    <cellStyle name="Normal" xfId="0" builtinId="0"/>
    <cellStyle name="Normal 10" xfId="33" xr:uid="{00000000-0005-0000-0000-000049000000}"/>
    <cellStyle name="Normal 10 2" xfId="329" xr:uid="{00000000-0005-0000-0000-000071010000}"/>
    <cellStyle name="Normal 11" xfId="251" xr:uid="{00000000-0005-0000-0000-000023010000}"/>
    <cellStyle name="Normal 11 2" xfId="252" xr:uid="{00000000-0005-0000-0000-000024010000}"/>
    <cellStyle name="Normal 11 3" xfId="253" xr:uid="{00000000-0005-0000-0000-000025010000}"/>
    <cellStyle name="Normal 11 4" xfId="254" xr:uid="{00000000-0005-0000-0000-000026010000}"/>
    <cellStyle name="Normal 12" xfId="255" xr:uid="{00000000-0005-0000-0000-000027010000}"/>
    <cellStyle name="Normal 12 2" xfId="256" xr:uid="{00000000-0005-0000-0000-000028010000}"/>
    <cellStyle name="Normal 12 3" xfId="257" xr:uid="{00000000-0005-0000-0000-000029010000}"/>
    <cellStyle name="Normal 12 4" xfId="258" xr:uid="{00000000-0005-0000-0000-00002A010000}"/>
    <cellStyle name="Normal 13" xfId="259" xr:uid="{00000000-0005-0000-0000-00002B010000}"/>
    <cellStyle name="Normal 13 2" xfId="260" xr:uid="{00000000-0005-0000-0000-00002C010000}"/>
    <cellStyle name="Normal 13 3" xfId="261" xr:uid="{00000000-0005-0000-0000-00002D010000}"/>
    <cellStyle name="Normal 13 4" xfId="262" xr:uid="{00000000-0005-0000-0000-00002E010000}"/>
    <cellStyle name="Normal 14" xfId="263" xr:uid="{00000000-0005-0000-0000-00002F010000}"/>
    <cellStyle name="Normal 14 2" xfId="264" xr:uid="{00000000-0005-0000-0000-000030010000}"/>
    <cellStyle name="Normal 15" xfId="265" xr:uid="{00000000-0005-0000-0000-000031010000}"/>
    <cellStyle name="Normal 16" xfId="12" xr:uid="{00000000-0005-0000-0000-000034000000}"/>
    <cellStyle name="Normal 17" xfId="266" xr:uid="{00000000-0005-0000-0000-000032010000}"/>
    <cellStyle name="Normal 18" xfId="267" xr:uid="{00000000-0005-0000-0000-000033010000}"/>
    <cellStyle name="Normal 19" xfId="516" xr:uid="{00000000-0005-0000-0000-00002C020000}"/>
    <cellStyle name="Normal 2" xfId="4" xr:uid="{00000000-0005-0000-0000-000004000000}"/>
    <cellStyle name="Normal 2 10" xfId="36" xr:uid="{00000000-0005-0000-0000-00004C000000}"/>
    <cellStyle name="Normal 2 10 2" xfId="330" xr:uid="{00000000-0005-0000-0000-000072010000}"/>
    <cellStyle name="Normal 2 11" xfId="37" xr:uid="{00000000-0005-0000-0000-00004D000000}"/>
    <cellStyle name="Normal 2 11 2" xfId="331" xr:uid="{00000000-0005-0000-0000-000073010000}"/>
    <cellStyle name="Normal 2 12" xfId="268" xr:uid="{00000000-0005-0000-0000-000034010000}"/>
    <cellStyle name="Normal 2 13" xfId="269" xr:uid="{00000000-0005-0000-0000-000035010000}"/>
    <cellStyle name="Normal 2 14" xfId="270" xr:uid="{00000000-0005-0000-0000-000036010000}"/>
    <cellStyle name="Normal 2 15" xfId="271" xr:uid="{00000000-0005-0000-0000-000037010000}"/>
    <cellStyle name="Normal 2 16" xfId="272" xr:uid="{00000000-0005-0000-0000-000038010000}"/>
    <cellStyle name="Normal 2 17" xfId="273" xr:uid="{00000000-0005-0000-0000-000039010000}"/>
    <cellStyle name="Normal 2 18" xfId="274" xr:uid="{00000000-0005-0000-0000-00003A010000}"/>
    <cellStyle name="Normal 2 19" xfId="275" xr:uid="{00000000-0005-0000-0000-00003B010000}"/>
    <cellStyle name="Normal 2 2" xfId="5" xr:uid="{00000000-0005-0000-0000-000005000000}"/>
    <cellStyle name="Normal 2 2 10" xfId="332" xr:uid="{00000000-0005-0000-0000-000074010000}"/>
    <cellStyle name="Normal 2 2 11" xfId="22" xr:uid="{00000000-0005-0000-0000-00003E000000}"/>
    <cellStyle name="Normal 2 2 2" xfId="38" xr:uid="{00000000-0005-0000-0000-00004E000000}"/>
    <cellStyle name="Normal 2 2 2 2" xfId="39" xr:uid="{00000000-0005-0000-0000-00004F000000}"/>
    <cellStyle name="Normal 2 2 2 2 2" xfId="333" xr:uid="{00000000-0005-0000-0000-000075010000}"/>
    <cellStyle name="Normal 2 2 2 3" xfId="40" xr:uid="{00000000-0005-0000-0000-000050000000}"/>
    <cellStyle name="Normal 2 2 2 3 2" xfId="334" xr:uid="{00000000-0005-0000-0000-000076010000}"/>
    <cellStyle name="Normal 2 2 2 4" xfId="335" xr:uid="{00000000-0005-0000-0000-000077010000}"/>
    <cellStyle name="Normal 2 2 3" xfId="41" xr:uid="{00000000-0005-0000-0000-000051000000}"/>
    <cellStyle name="Normal 2 2 3 2" xfId="42" xr:uid="{00000000-0005-0000-0000-000052000000}"/>
    <cellStyle name="Normal 2 2 3 2 2" xfId="336" xr:uid="{00000000-0005-0000-0000-000078010000}"/>
    <cellStyle name="Normal 2 2 3 3" xfId="337" xr:uid="{00000000-0005-0000-0000-000079010000}"/>
    <cellStyle name="Normal 2 2 4" xfId="43" xr:uid="{00000000-0005-0000-0000-000053000000}"/>
    <cellStyle name="Normal 2 2 4 2" xfId="44" xr:uid="{00000000-0005-0000-0000-000054000000}"/>
    <cellStyle name="Normal 2 2 4 2 2" xfId="338" xr:uid="{00000000-0005-0000-0000-00007A010000}"/>
    <cellStyle name="Normal 2 2 4 3" xfId="339" xr:uid="{00000000-0005-0000-0000-00007B010000}"/>
    <cellStyle name="Normal 2 2 5" xfId="45" xr:uid="{00000000-0005-0000-0000-000055000000}"/>
    <cellStyle name="Normal 2 2 5 2" xfId="46" xr:uid="{00000000-0005-0000-0000-000056000000}"/>
    <cellStyle name="Normal 2 2 5 2 2" xfId="340" xr:uid="{00000000-0005-0000-0000-00007C010000}"/>
    <cellStyle name="Normal 2 2 5 3" xfId="341" xr:uid="{00000000-0005-0000-0000-00007D010000}"/>
    <cellStyle name="Normal 2 2 6" xfId="47" xr:uid="{00000000-0005-0000-0000-000057000000}"/>
    <cellStyle name="Normal 2 2 6 2" xfId="342" xr:uid="{00000000-0005-0000-0000-00007E010000}"/>
    <cellStyle name="Normal 2 2 7" xfId="48" xr:uid="{00000000-0005-0000-0000-000058000000}"/>
    <cellStyle name="Normal 2 2 7 2" xfId="343" xr:uid="{00000000-0005-0000-0000-00007F010000}"/>
    <cellStyle name="Normal 2 2 8" xfId="49" xr:uid="{00000000-0005-0000-0000-000059000000}"/>
    <cellStyle name="Normal 2 2 8 2" xfId="344" xr:uid="{00000000-0005-0000-0000-000080010000}"/>
    <cellStyle name="Normal 2 2 9" xfId="345" xr:uid="{00000000-0005-0000-0000-000081010000}"/>
    <cellStyle name="Normal 2 20" xfId="276" xr:uid="{00000000-0005-0000-0000-00003C010000}"/>
    <cellStyle name="Normal 2 21" xfId="277" xr:uid="{00000000-0005-0000-0000-00003D010000}"/>
    <cellStyle name="Normal 2 22" xfId="278" xr:uid="{00000000-0005-0000-0000-00003E010000}"/>
    <cellStyle name="Normal 2 23" xfId="279" xr:uid="{00000000-0005-0000-0000-00003F010000}"/>
    <cellStyle name="Normal 2 24" xfId="328" xr:uid="{00000000-0005-0000-0000-000070010000}"/>
    <cellStyle name="Normal 2 25" xfId="515" xr:uid="{00000000-0005-0000-0000-00002B020000}"/>
    <cellStyle name="Normal 2 26" xfId="18" xr:uid="{00000000-0005-0000-0000-00003A000000}"/>
    <cellStyle name="Normal 2 3" xfId="24" xr:uid="{00000000-0005-0000-0000-000040000000}"/>
    <cellStyle name="Normal 2 3 2" xfId="50" xr:uid="{00000000-0005-0000-0000-00005A000000}"/>
    <cellStyle name="Normal 2 3 2 2" xfId="51" xr:uid="{00000000-0005-0000-0000-00005B000000}"/>
    <cellStyle name="Normal 2 3 2 2 2" xfId="346" xr:uid="{00000000-0005-0000-0000-000082010000}"/>
    <cellStyle name="Normal 2 3 2 3" xfId="52" xr:uid="{00000000-0005-0000-0000-00005C000000}"/>
    <cellStyle name="Normal 2 3 2 3 2" xfId="347" xr:uid="{00000000-0005-0000-0000-000083010000}"/>
    <cellStyle name="Normal 2 3 2 4" xfId="348" xr:uid="{00000000-0005-0000-0000-000084010000}"/>
    <cellStyle name="Normal 2 3 3" xfId="53" xr:uid="{00000000-0005-0000-0000-00005D000000}"/>
    <cellStyle name="Normal 2 3 4" xfId="54" xr:uid="{00000000-0005-0000-0000-00005E000000}"/>
    <cellStyle name="Normal 2 3 4 2" xfId="349" xr:uid="{00000000-0005-0000-0000-000085010000}"/>
    <cellStyle name="Normal 2 3 5" xfId="55" xr:uid="{00000000-0005-0000-0000-00005F000000}"/>
    <cellStyle name="Normal 2 3 5 2" xfId="350" xr:uid="{00000000-0005-0000-0000-000086010000}"/>
    <cellStyle name="Normal 2 3 6" xfId="351" xr:uid="{00000000-0005-0000-0000-000087010000}"/>
    <cellStyle name="Normal 2 4" xfId="56" xr:uid="{00000000-0005-0000-0000-000060000000}"/>
    <cellStyle name="Normal 2 4 2" xfId="57" xr:uid="{00000000-0005-0000-0000-000061000000}"/>
    <cellStyle name="Normal 2 4 2 2" xfId="352" xr:uid="{00000000-0005-0000-0000-000088010000}"/>
    <cellStyle name="Normal 2 5" xfId="58" xr:uid="{00000000-0005-0000-0000-000062000000}"/>
    <cellStyle name="Normal 2 5 2" xfId="59" xr:uid="{00000000-0005-0000-0000-000063000000}"/>
    <cellStyle name="Normal 2 5 2 2" xfId="353" xr:uid="{00000000-0005-0000-0000-000089010000}"/>
    <cellStyle name="Normal 2 5 3" xfId="354" xr:uid="{00000000-0005-0000-0000-00008A010000}"/>
    <cellStyle name="Normal 2 6" xfId="60" xr:uid="{00000000-0005-0000-0000-000064000000}"/>
    <cellStyle name="Normal 2 6 2" xfId="61" xr:uid="{00000000-0005-0000-0000-000065000000}"/>
    <cellStyle name="Normal 2 6 2 2" xfId="355" xr:uid="{00000000-0005-0000-0000-00008B010000}"/>
    <cellStyle name="Normal 2 6 3" xfId="356" xr:uid="{00000000-0005-0000-0000-00008C010000}"/>
    <cellStyle name="Normal 2 7" xfId="62" xr:uid="{00000000-0005-0000-0000-000066000000}"/>
    <cellStyle name="Normal 2 7 2" xfId="63" xr:uid="{00000000-0005-0000-0000-000067000000}"/>
    <cellStyle name="Normal 2 7 2 2" xfId="357" xr:uid="{00000000-0005-0000-0000-00008D010000}"/>
    <cellStyle name="Normal 2 7 3" xfId="358" xr:uid="{00000000-0005-0000-0000-00008E010000}"/>
    <cellStyle name="Normal 2 8" xfId="64" xr:uid="{00000000-0005-0000-0000-000068000000}"/>
    <cellStyle name="Normal 2 8 2" xfId="65" xr:uid="{00000000-0005-0000-0000-000069000000}"/>
    <cellStyle name="Normal 2 8 2 2" xfId="359" xr:uid="{00000000-0005-0000-0000-00008F010000}"/>
    <cellStyle name="Normal 2 8 3" xfId="360" xr:uid="{00000000-0005-0000-0000-000090010000}"/>
    <cellStyle name="Normal 2 9" xfId="66" xr:uid="{00000000-0005-0000-0000-00006A000000}"/>
    <cellStyle name="Normal 2 9 2" xfId="361" xr:uid="{00000000-0005-0000-0000-000091010000}"/>
    <cellStyle name="Normal 3" xfId="6" xr:uid="{00000000-0005-0000-0000-000006000000}"/>
    <cellStyle name="Normal 3 10" xfId="280" xr:uid="{00000000-0005-0000-0000-000040010000}"/>
    <cellStyle name="Normal 3 11" xfId="281" xr:uid="{00000000-0005-0000-0000-000041010000}"/>
    <cellStyle name="Normal 3 12" xfId="282" xr:uid="{00000000-0005-0000-0000-000042010000}"/>
    <cellStyle name="Normal 3 13" xfId="283" xr:uid="{00000000-0005-0000-0000-000043010000}"/>
    <cellStyle name="Normal 3 14" xfId="16" xr:uid="{00000000-0005-0000-0000-000038000000}"/>
    <cellStyle name="Normal 3 2" xfId="7" xr:uid="{00000000-0005-0000-0000-000007000000}"/>
    <cellStyle name="Normal 3 2 2" xfId="34" xr:uid="{00000000-0005-0000-0000-00004A000000}"/>
    <cellStyle name="Normal 3 2 2 2" xfId="67" xr:uid="{00000000-0005-0000-0000-00006B000000}"/>
    <cellStyle name="Normal 3 2 2 3" xfId="362" xr:uid="{00000000-0005-0000-0000-000092010000}"/>
    <cellStyle name="Normal 3 2 3" xfId="68" xr:uid="{00000000-0005-0000-0000-00006C000000}"/>
    <cellStyle name="Normal 3 2 3 2" xfId="363" xr:uid="{00000000-0005-0000-0000-000093010000}"/>
    <cellStyle name="Normal 3 2 4" xfId="69" xr:uid="{00000000-0005-0000-0000-00006D000000}"/>
    <cellStyle name="Normal 3 2 5" xfId="364" xr:uid="{00000000-0005-0000-0000-000094010000}"/>
    <cellStyle name="Normal 3 2 6" xfId="365" xr:uid="{00000000-0005-0000-0000-000095010000}"/>
    <cellStyle name="Normal 3 2 7" xfId="25" xr:uid="{00000000-0005-0000-0000-000041000000}"/>
    <cellStyle name="Normal 3 3" xfId="70" xr:uid="{00000000-0005-0000-0000-00006E000000}"/>
    <cellStyle name="Normal 3 3 2" xfId="71" xr:uid="{00000000-0005-0000-0000-00006F000000}"/>
    <cellStyle name="Normal 3 3 2 2" xfId="366" xr:uid="{00000000-0005-0000-0000-000096010000}"/>
    <cellStyle name="Normal 3 3 3" xfId="72" xr:uid="{00000000-0005-0000-0000-000070000000}"/>
    <cellStyle name="Normal 3 3 3 2" xfId="367" xr:uid="{00000000-0005-0000-0000-000097010000}"/>
    <cellStyle name="Normal 3 3 4" xfId="368" xr:uid="{00000000-0005-0000-0000-000098010000}"/>
    <cellStyle name="Normal 3 4" xfId="73" xr:uid="{00000000-0005-0000-0000-000071000000}"/>
    <cellStyle name="Normal 3 4 2" xfId="74" xr:uid="{00000000-0005-0000-0000-000072000000}"/>
    <cellStyle name="Normal 3 4 2 2" xfId="369" xr:uid="{00000000-0005-0000-0000-000099010000}"/>
    <cellStyle name="Normal 3 4 3" xfId="370" xr:uid="{00000000-0005-0000-0000-00009A010000}"/>
    <cellStyle name="Normal 3 5" xfId="75" xr:uid="{00000000-0005-0000-0000-000073000000}"/>
    <cellStyle name="Normal 3 5 2" xfId="76" xr:uid="{00000000-0005-0000-0000-000074000000}"/>
    <cellStyle name="Normal 3 5 2 2" xfId="371" xr:uid="{00000000-0005-0000-0000-00009B010000}"/>
    <cellStyle name="Normal 3 5 3" xfId="372" xr:uid="{00000000-0005-0000-0000-00009C010000}"/>
    <cellStyle name="Normal 3 6" xfId="77" xr:uid="{00000000-0005-0000-0000-000075000000}"/>
    <cellStyle name="Normal 3 6 2" xfId="78" xr:uid="{00000000-0005-0000-0000-000076000000}"/>
    <cellStyle name="Normal 3 6 2 2" xfId="373" xr:uid="{00000000-0005-0000-0000-00009D010000}"/>
    <cellStyle name="Normal 3 6 3" xfId="374" xr:uid="{00000000-0005-0000-0000-00009E010000}"/>
    <cellStyle name="Normal 3 7" xfId="79" xr:uid="{00000000-0005-0000-0000-000077000000}"/>
    <cellStyle name="Normal 3 7 2" xfId="375" xr:uid="{00000000-0005-0000-0000-00009F010000}"/>
    <cellStyle name="Normal 3 8" xfId="80" xr:uid="{00000000-0005-0000-0000-000078000000}"/>
    <cellStyle name="Normal 3 8 2" xfId="376" xr:uid="{00000000-0005-0000-0000-0000A0010000}"/>
    <cellStyle name="Normal 3 9" xfId="81" xr:uid="{00000000-0005-0000-0000-000079000000}"/>
    <cellStyle name="Normal 3 9 2" xfId="377" xr:uid="{00000000-0005-0000-0000-0000A1010000}"/>
    <cellStyle name="Normal 4" xfId="8" xr:uid="{00000000-0005-0000-0000-000008000000}"/>
    <cellStyle name="Normal 4 10" xfId="82" xr:uid="{00000000-0005-0000-0000-00007A000000}"/>
    <cellStyle name="Normal 4 10 2" xfId="378" xr:uid="{00000000-0005-0000-0000-0000A2010000}"/>
    <cellStyle name="Normal 4 10 2 2" xfId="379" xr:uid="{00000000-0005-0000-0000-0000A3010000}"/>
    <cellStyle name="Normal 4 10 3" xfId="380" xr:uid="{00000000-0005-0000-0000-0000A4010000}"/>
    <cellStyle name="Normal 4 11" xfId="284" xr:uid="{00000000-0005-0000-0000-000044010000}"/>
    <cellStyle name="Normal 4 11 2" xfId="512" xr:uid="{00000000-0005-0000-0000-000028020000}"/>
    <cellStyle name="Normal 4 12" xfId="285" xr:uid="{00000000-0005-0000-0000-000045010000}"/>
    <cellStyle name="Normal 4 13" xfId="286" xr:uid="{00000000-0005-0000-0000-000046010000}"/>
    <cellStyle name="Normal 4 14" xfId="19" xr:uid="{00000000-0005-0000-0000-00003B000000}"/>
    <cellStyle name="Normal 4 2" xfId="9" xr:uid="{00000000-0005-0000-0000-000009000000}"/>
    <cellStyle name="Normal 4 2 2" xfId="84" xr:uid="{00000000-0005-0000-0000-00007C000000}"/>
    <cellStyle name="Normal 4 2 2 2" xfId="85" xr:uid="{00000000-0005-0000-0000-00007D000000}"/>
    <cellStyle name="Normal 4 2 2 2 2" xfId="381" xr:uid="{00000000-0005-0000-0000-0000A5010000}"/>
    <cellStyle name="Normal 4 2 2 3" xfId="382" xr:uid="{00000000-0005-0000-0000-0000A6010000}"/>
    <cellStyle name="Normal 4 2 3" xfId="86" xr:uid="{00000000-0005-0000-0000-00007E000000}"/>
    <cellStyle name="Normal 4 2 3 2" xfId="383" xr:uid="{00000000-0005-0000-0000-0000A7010000}"/>
    <cellStyle name="Normal 4 2 4" xfId="87" xr:uid="{00000000-0005-0000-0000-00007F000000}"/>
    <cellStyle name="Normal 4 2 4 2" xfId="384" xr:uid="{00000000-0005-0000-0000-0000A8010000}"/>
    <cellStyle name="Normal 4 2 5" xfId="88" xr:uid="{00000000-0005-0000-0000-000080000000}"/>
    <cellStyle name="Normal 4 2 5 2" xfId="385" xr:uid="{00000000-0005-0000-0000-0000A9010000}"/>
    <cellStyle name="Normal 4 2 6" xfId="386" xr:uid="{00000000-0005-0000-0000-0000AA010000}"/>
    <cellStyle name="Normal 4 2 7" xfId="387" xr:uid="{00000000-0005-0000-0000-0000AB010000}"/>
    <cellStyle name="Normal 4 2 8" xfId="83" xr:uid="{00000000-0005-0000-0000-00007B000000}"/>
    <cellStyle name="Normal 4 3" xfId="89" xr:uid="{00000000-0005-0000-0000-000081000000}"/>
    <cellStyle name="Normal 4 3 2" xfId="90" xr:uid="{00000000-0005-0000-0000-000082000000}"/>
    <cellStyle name="Normal 4 3 2 2" xfId="388" xr:uid="{00000000-0005-0000-0000-0000AC010000}"/>
    <cellStyle name="Normal 4 3 3" xfId="91" xr:uid="{00000000-0005-0000-0000-000083000000}"/>
    <cellStyle name="Normal 4 3 3 2" xfId="389" xr:uid="{00000000-0005-0000-0000-0000AD010000}"/>
    <cellStyle name="Normal 4 3 4" xfId="92" xr:uid="{00000000-0005-0000-0000-000084000000}"/>
    <cellStyle name="Normal 4 3 4 2" xfId="390" xr:uid="{00000000-0005-0000-0000-0000AE010000}"/>
    <cellStyle name="Normal 4 3 5" xfId="391" xr:uid="{00000000-0005-0000-0000-0000AF010000}"/>
    <cellStyle name="Normal 4 4" xfId="93" xr:uid="{00000000-0005-0000-0000-000085000000}"/>
    <cellStyle name="Normal 4 4 2" xfId="94" xr:uid="{00000000-0005-0000-0000-000086000000}"/>
    <cellStyle name="Normal 4 4 2 2" xfId="392" xr:uid="{00000000-0005-0000-0000-0000B0010000}"/>
    <cellStyle name="Normal 4 4 3" xfId="393" xr:uid="{00000000-0005-0000-0000-0000B1010000}"/>
    <cellStyle name="Normal 4 5" xfId="95" xr:uid="{00000000-0005-0000-0000-000087000000}"/>
    <cellStyle name="Normal 4 5 2" xfId="96" xr:uid="{00000000-0005-0000-0000-000088000000}"/>
    <cellStyle name="Normal 4 5 2 2" xfId="394" xr:uid="{00000000-0005-0000-0000-0000B2010000}"/>
    <cellStyle name="Normal 4 5 3" xfId="395" xr:uid="{00000000-0005-0000-0000-0000B3010000}"/>
    <cellStyle name="Normal 4 6" xfId="97" xr:uid="{00000000-0005-0000-0000-000089000000}"/>
    <cellStyle name="Normal 4 6 2" xfId="98" xr:uid="{00000000-0005-0000-0000-00008A000000}"/>
    <cellStyle name="Normal 4 6 2 2" xfId="396" xr:uid="{00000000-0005-0000-0000-0000B4010000}"/>
    <cellStyle name="Normal 4 6 3" xfId="397" xr:uid="{00000000-0005-0000-0000-0000B5010000}"/>
    <cellStyle name="Normal 4 7" xfId="99" xr:uid="{00000000-0005-0000-0000-00008B000000}"/>
    <cellStyle name="Normal 4 7 2" xfId="398" xr:uid="{00000000-0005-0000-0000-0000B6010000}"/>
    <cellStyle name="Normal 4 8" xfId="100" xr:uid="{00000000-0005-0000-0000-00008C000000}"/>
    <cellStyle name="Normal 4 8 2" xfId="399" xr:uid="{00000000-0005-0000-0000-0000B7010000}"/>
    <cellStyle name="Normal 4 9" xfId="101" xr:uid="{00000000-0005-0000-0000-00008D000000}"/>
    <cellStyle name="Normal 4 9 2" xfId="400" xr:uid="{00000000-0005-0000-0000-0000B8010000}"/>
    <cellStyle name="Normal 5" xfId="10" xr:uid="{00000000-0005-0000-0000-00000A000000}"/>
    <cellStyle name="Normal 5 10" xfId="205" xr:uid="{00000000-0005-0000-0000-0000F5000000}"/>
    <cellStyle name="Normal 5 10 2" xfId="513" xr:uid="{00000000-0005-0000-0000-000029020000}"/>
    <cellStyle name="Normal 5 11" xfId="287" xr:uid="{00000000-0005-0000-0000-000047010000}"/>
    <cellStyle name="Normal 5 12" xfId="288" xr:uid="{00000000-0005-0000-0000-000048010000}"/>
    <cellStyle name="Normal 5 13" xfId="289" xr:uid="{00000000-0005-0000-0000-000049010000}"/>
    <cellStyle name="Normal 5 14" xfId="21" xr:uid="{00000000-0005-0000-0000-00003D000000}"/>
    <cellStyle name="Normal 5 2" xfId="102" xr:uid="{00000000-0005-0000-0000-00008E000000}"/>
    <cellStyle name="Normal 5 2 2" xfId="103" xr:uid="{00000000-0005-0000-0000-00008F000000}"/>
    <cellStyle name="Normal 5 2 2 2" xfId="104" xr:uid="{00000000-0005-0000-0000-000090000000}"/>
    <cellStyle name="Normal 5 2 2 2 2" xfId="401" xr:uid="{00000000-0005-0000-0000-0000B9010000}"/>
    <cellStyle name="Normal 5 2 2 3" xfId="402" xr:uid="{00000000-0005-0000-0000-0000BA010000}"/>
    <cellStyle name="Normal 5 2 3" xfId="105" xr:uid="{00000000-0005-0000-0000-000091000000}"/>
    <cellStyle name="Normal 5 2 3 2" xfId="403" xr:uid="{00000000-0005-0000-0000-0000BB010000}"/>
    <cellStyle name="Normal 5 2 4" xfId="106" xr:uid="{00000000-0005-0000-0000-000092000000}"/>
    <cellStyle name="Normal 5 2 4 2" xfId="404" xr:uid="{00000000-0005-0000-0000-0000BC010000}"/>
    <cellStyle name="Normal 5 2 5" xfId="405" xr:uid="{00000000-0005-0000-0000-0000BD010000}"/>
    <cellStyle name="Normal 5 2 6" xfId="406" xr:uid="{00000000-0005-0000-0000-0000BE010000}"/>
    <cellStyle name="Normal 5 3" xfId="107" xr:uid="{00000000-0005-0000-0000-000093000000}"/>
    <cellStyle name="Normal 5 3 2" xfId="108" xr:uid="{00000000-0005-0000-0000-000094000000}"/>
    <cellStyle name="Normal 5 3 2 2" xfId="407" xr:uid="{00000000-0005-0000-0000-0000BF010000}"/>
    <cellStyle name="Normal 5 3 3" xfId="109" xr:uid="{00000000-0005-0000-0000-000095000000}"/>
    <cellStyle name="Normal 5 3 3 2" xfId="408" xr:uid="{00000000-0005-0000-0000-0000C0010000}"/>
    <cellStyle name="Normal 5 3 4" xfId="409" xr:uid="{00000000-0005-0000-0000-0000C1010000}"/>
    <cellStyle name="Normal 5 4" xfId="110" xr:uid="{00000000-0005-0000-0000-000096000000}"/>
    <cellStyle name="Normal 5 4 2" xfId="111" xr:uid="{00000000-0005-0000-0000-000097000000}"/>
    <cellStyle name="Normal 5 4 2 2" xfId="410" xr:uid="{00000000-0005-0000-0000-0000C2010000}"/>
    <cellStyle name="Normal 5 4 3" xfId="411" xr:uid="{00000000-0005-0000-0000-0000C3010000}"/>
    <cellStyle name="Normal 5 5" xfId="112" xr:uid="{00000000-0005-0000-0000-000098000000}"/>
    <cellStyle name="Normal 5 5 2" xfId="113" xr:uid="{00000000-0005-0000-0000-000099000000}"/>
    <cellStyle name="Normal 5 5 2 2" xfId="412" xr:uid="{00000000-0005-0000-0000-0000C4010000}"/>
    <cellStyle name="Normal 5 5 3" xfId="413" xr:uid="{00000000-0005-0000-0000-0000C5010000}"/>
    <cellStyle name="Normal 5 6" xfId="114" xr:uid="{00000000-0005-0000-0000-00009A000000}"/>
    <cellStyle name="Normal 5 6 2" xfId="115" xr:uid="{00000000-0005-0000-0000-00009B000000}"/>
    <cellStyle name="Normal 5 6 2 2" xfId="414" xr:uid="{00000000-0005-0000-0000-0000C6010000}"/>
    <cellStyle name="Normal 5 6 3" xfId="415" xr:uid="{00000000-0005-0000-0000-0000C7010000}"/>
    <cellStyle name="Normal 5 7" xfId="116" xr:uid="{00000000-0005-0000-0000-00009C000000}"/>
    <cellStyle name="Normal 5 7 2" xfId="416" xr:uid="{00000000-0005-0000-0000-0000C8010000}"/>
    <cellStyle name="Normal 5 8" xfId="117" xr:uid="{00000000-0005-0000-0000-00009D000000}"/>
    <cellStyle name="Normal 5 8 2" xfId="417" xr:uid="{00000000-0005-0000-0000-0000C9010000}"/>
    <cellStyle name="Normal 5 9" xfId="118" xr:uid="{00000000-0005-0000-0000-00009E000000}"/>
    <cellStyle name="Normal 5 9 2" xfId="418" xr:uid="{00000000-0005-0000-0000-0000CA010000}"/>
    <cellStyle name="Normal 6" xfId="2" xr:uid="{00000000-0005-0000-0000-000002000000}"/>
    <cellStyle name="Normal 6 2" xfId="290" xr:uid="{00000000-0005-0000-0000-00004A010000}"/>
    <cellStyle name="Normal 6 3" xfId="32" xr:uid="{00000000-0005-0000-0000-000048000000}"/>
    <cellStyle name="Normal 7" xfId="11" xr:uid="{00000000-0005-0000-0000-000033000000}"/>
    <cellStyle name="Normal 7 10" xfId="419" xr:uid="{00000000-0005-0000-0000-0000CB010000}"/>
    <cellStyle name="Normal 7 11" xfId="119" xr:uid="{00000000-0005-0000-0000-00009F000000}"/>
    <cellStyle name="Normal 7 2" xfId="120" xr:uid="{00000000-0005-0000-0000-0000A0000000}"/>
    <cellStyle name="Normal 7 2 2" xfId="121" xr:uid="{00000000-0005-0000-0000-0000A1000000}"/>
    <cellStyle name="Normal 7 2 2 2" xfId="420" xr:uid="{00000000-0005-0000-0000-0000CC010000}"/>
    <cellStyle name="Normal 7 2 3" xfId="122" xr:uid="{00000000-0005-0000-0000-0000A2000000}"/>
    <cellStyle name="Normal 7 2 3 2" xfId="421" xr:uid="{00000000-0005-0000-0000-0000CD010000}"/>
    <cellStyle name="Normal 7 2 4" xfId="422" xr:uid="{00000000-0005-0000-0000-0000CE010000}"/>
    <cellStyle name="Normal 7 3" xfId="123" xr:uid="{00000000-0005-0000-0000-0000A3000000}"/>
    <cellStyle name="Normal 7 3 2" xfId="124" xr:uid="{00000000-0005-0000-0000-0000A4000000}"/>
    <cellStyle name="Normal 7 3 2 2" xfId="423" xr:uid="{00000000-0005-0000-0000-0000CF010000}"/>
    <cellStyle name="Normal 7 3 3" xfId="424" xr:uid="{00000000-0005-0000-0000-0000D0010000}"/>
    <cellStyle name="Normal 7 4" xfId="125" xr:uid="{00000000-0005-0000-0000-0000A5000000}"/>
    <cellStyle name="Normal 7 4 2" xfId="126" xr:uid="{00000000-0005-0000-0000-0000A6000000}"/>
    <cellStyle name="Normal 7 4 2 2" xfId="425" xr:uid="{00000000-0005-0000-0000-0000D1010000}"/>
    <cellStyle name="Normal 7 4 3" xfId="426" xr:uid="{00000000-0005-0000-0000-0000D2010000}"/>
    <cellStyle name="Normal 7 5" xfId="127" xr:uid="{00000000-0005-0000-0000-0000A7000000}"/>
    <cellStyle name="Normal 7 5 2" xfId="128" xr:uid="{00000000-0005-0000-0000-0000A8000000}"/>
    <cellStyle name="Normal 7 5 2 2" xfId="427" xr:uid="{00000000-0005-0000-0000-0000D3010000}"/>
    <cellStyle name="Normal 7 5 3" xfId="428" xr:uid="{00000000-0005-0000-0000-0000D4010000}"/>
    <cellStyle name="Normal 7 6" xfId="129" xr:uid="{00000000-0005-0000-0000-0000A9000000}"/>
    <cellStyle name="Normal 7 6 2" xfId="429" xr:uid="{00000000-0005-0000-0000-0000D5010000}"/>
    <cellStyle name="Normal 7 7" xfId="130" xr:uid="{00000000-0005-0000-0000-0000AA000000}"/>
    <cellStyle name="Normal 7 7 2" xfId="430" xr:uid="{00000000-0005-0000-0000-0000D6010000}"/>
    <cellStyle name="Normal 7 8" xfId="131" xr:uid="{00000000-0005-0000-0000-0000AB000000}"/>
    <cellStyle name="Normal 7 8 2" xfId="431" xr:uid="{00000000-0005-0000-0000-0000D7010000}"/>
    <cellStyle name="Normal 7 9" xfId="432" xr:uid="{00000000-0005-0000-0000-0000D8010000}"/>
    <cellStyle name="Normal 8" xfId="15" xr:uid="{00000000-0005-0000-0000-000037000000}"/>
    <cellStyle name="Normal 8 2" xfId="132" xr:uid="{00000000-0005-0000-0000-0000AC000000}"/>
    <cellStyle name="Normal 8 2 2" xfId="133" xr:uid="{00000000-0005-0000-0000-0000AD000000}"/>
    <cellStyle name="Normal 8 2 2 2" xfId="433" xr:uid="{00000000-0005-0000-0000-0000D9010000}"/>
    <cellStyle name="Normal 8 2 3" xfId="434" xr:uid="{00000000-0005-0000-0000-0000DA010000}"/>
    <cellStyle name="Normal 8 3" xfId="134" xr:uid="{00000000-0005-0000-0000-0000AE000000}"/>
    <cellStyle name="Normal 8 3 2" xfId="135" xr:uid="{00000000-0005-0000-0000-0000AF000000}"/>
    <cellStyle name="Normal 8 3 2 2" xfId="435" xr:uid="{00000000-0005-0000-0000-0000DB010000}"/>
    <cellStyle name="Normal 8 3 3" xfId="436" xr:uid="{00000000-0005-0000-0000-0000DC010000}"/>
    <cellStyle name="Normal 8 4" xfId="136" xr:uid="{00000000-0005-0000-0000-0000B0000000}"/>
    <cellStyle name="Normal 8 4 2" xfId="137" xr:uid="{00000000-0005-0000-0000-0000B1000000}"/>
    <cellStyle name="Normal 8 4 2 2" xfId="437" xr:uid="{00000000-0005-0000-0000-0000DD010000}"/>
    <cellStyle name="Normal 8 4 3" xfId="438" xr:uid="{00000000-0005-0000-0000-0000DE010000}"/>
    <cellStyle name="Normal 8 5" xfId="138" xr:uid="{00000000-0005-0000-0000-0000B2000000}"/>
    <cellStyle name="Normal 8 5 2" xfId="439" xr:uid="{00000000-0005-0000-0000-0000DF010000}"/>
    <cellStyle name="Normal 8 6" xfId="440" xr:uid="{00000000-0005-0000-0000-0000E0010000}"/>
    <cellStyle name="Normal 8 7" xfId="29" xr:uid="{00000000-0005-0000-0000-000045000000}"/>
    <cellStyle name="Normal 9" xfId="139" xr:uid="{00000000-0005-0000-0000-0000B3000000}"/>
    <cellStyle name="Note 2" xfId="291" xr:uid="{00000000-0005-0000-0000-00004B010000}"/>
    <cellStyle name="Note 3" xfId="292" xr:uid="{00000000-0005-0000-0000-00004C010000}"/>
    <cellStyle name="Note 4" xfId="293" xr:uid="{00000000-0005-0000-0000-00004D010000}"/>
    <cellStyle name="Note 5" xfId="294" xr:uid="{00000000-0005-0000-0000-00004E010000}"/>
    <cellStyle name="Output 2" xfId="295" xr:uid="{00000000-0005-0000-0000-00004F010000}"/>
    <cellStyle name="Percent" xfId="522" builtinId="5"/>
    <cellStyle name="Percent 2" xfId="23" xr:uid="{00000000-0005-0000-0000-00003F000000}"/>
    <cellStyle name="Percent 2 10" xfId="441" xr:uid="{00000000-0005-0000-0000-0000E1010000}"/>
    <cellStyle name="Percent 2 11" xfId="442" xr:uid="{00000000-0005-0000-0000-0000E2010000}"/>
    <cellStyle name="Percent 2 12" xfId="518" xr:uid="{00000000-0005-0000-0000-00002E020000}"/>
    <cellStyle name="Percent 2 2" xfId="140" xr:uid="{00000000-0005-0000-0000-0000B4000000}"/>
    <cellStyle name="Percent 2 2 10" xfId="296" xr:uid="{00000000-0005-0000-0000-000050010000}"/>
    <cellStyle name="Percent 2 2 11" xfId="297" xr:uid="{00000000-0005-0000-0000-000051010000}"/>
    <cellStyle name="Percent 2 2 12" xfId="298" xr:uid="{00000000-0005-0000-0000-000052010000}"/>
    <cellStyle name="Percent 2 2 2" xfId="141" xr:uid="{00000000-0005-0000-0000-0000B5000000}"/>
    <cellStyle name="Percent 2 2 2 2" xfId="142" xr:uid="{00000000-0005-0000-0000-0000B6000000}"/>
    <cellStyle name="Percent 2 2 2 2 2" xfId="443" xr:uid="{00000000-0005-0000-0000-0000E3010000}"/>
    <cellStyle name="Percent 2 2 2 3" xfId="444" xr:uid="{00000000-0005-0000-0000-0000E4010000}"/>
    <cellStyle name="Percent 2 2 3" xfId="143" xr:uid="{00000000-0005-0000-0000-0000B7000000}"/>
    <cellStyle name="Percent 2 2 3 2" xfId="445" xr:uid="{00000000-0005-0000-0000-0000E5010000}"/>
    <cellStyle name="Percent 2 2 4" xfId="144" xr:uid="{00000000-0005-0000-0000-0000B8000000}"/>
    <cellStyle name="Percent 2 2 4 2" xfId="446" xr:uid="{00000000-0005-0000-0000-0000E6010000}"/>
    <cellStyle name="Percent 2 2 5" xfId="299" xr:uid="{00000000-0005-0000-0000-000053010000}"/>
    <cellStyle name="Percent 2 2 6" xfId="300" xr:uid="{00000000-0005-0000-0000-000054010000}"/>
    <cellStyle name="Percent 2 2 7" xfId="301" xr:uid="{00000000-0005-0000-0000-000055010000}"/>
    <cellStyle name="Percent 2 2 8" xfId="302" xr:uid="{00000000-0005-0000-0000-000056010000}"/>
    <cellStyle name="Percent 2 2 9" xfId="303" xr:uid="{00000000-0005-0000-0000-000057010000}"/>
    <cellStyle name="Percent 2 3" xfId="145" xr:uid="{00000000-0005-0000-0000-0000B9000000}"/>
    <cellStyle name="Percent 2 3 10" xfId="304" xr:uid="{00000000-0005-0000-0000-000058010000}"/>
    <cellStyle name="Percent 2 3 11" xfId="305" xr:uid="{00000000-0005-0000-0000-000059010000}"/>
    <cellStyle name="Percent 2 3 12" xfId="306" xr:uid="{00000000-0005-0000-0000-00005A010000}"/>
    <cellStyle name="Percent 2 3 2" xfId="146" xr:uid="{00000000-0005-0000-0000-0000BA000000}"/>
    <cellStyle name="Percent 2 3 2 2" xfId="447" xr:uid="{00000000-0005-0000-0000-0000E7010000}"/>
    <cellStyle name="Percent 2 3 3" xfId="147" xr:uid="{00000000-0005-0000-0000-0000BB000000}"/>
    <cellStyle name="Percent 2 3 3 2" xfId="448" xr:uid="{00000000-0005-0000-0000-0000E8010000}"/>
    <cellStyle name="Percent 2 3 4" xfId="307" xr:uid="{00000000-0005-0000-0000-00005B010000}"/>
    <cellStyle name="Percent 2 3 5" xfId="308" xr:uid="{00000000-0005-0000-0000-00005C010000}"/>
    <cellStyle name="Percent 2 3 6" xfId="309" xr:uid="{00000000-0005-0000-0000-00005D010000}"/>
    <cellStyle name="Percent 2 3 7" xfId="310" xr:uid="{00000000-0005-0000-0000-00005E010000}"/>
    <cellStyle name="Percent 2 3 8" xfId="311" xr:uid="{00000000-0005-0000-0000-00005F010000}"/>
    <cellStyle name="Percent 2 3 9" xfId="312" xr:uid="{00000000-0005-0000-0000-000060010000}"/>
    <cellStyle name="Percent 2 4" xfId="148" xr:uid="{00000000-0005-0000-0000-0000BC000000}"/>
    <cellStyle name="Percent 2 4 10" xfId="313" xr:uid="{00000000-0005-0000-0000-000061010000}"/>
    <cellStyle name="Percent 2 4 11" xfId="314" xr:uid="{00000000-0005-0000-0000-000062010000}"/>
    <cellStyle name="Percent 2 4 12" xfId="315" xr:uid="{00000000-0005-0000-0000-000063010000}"/>
    <cellStyle name="Percent 2 4 2" xfId="149" xr:uid="{00000000-0005-0000-0000-0000BD000000}"/>
    <cellStyle name="Percent 2 4 2 2" xfId="449" xr:uid="{00000000-0005-0000-0000-0000E9010000}"/>
    <cellStyle name="Percent 2 4 3" xfId="316" xr:uid="{00000000-0005-0000-0000-000064010000}"/>
    <cellStyle name="Percent 2 4 4" xfId="317" xr:uid="{00000000-0005-0000-0000-000065010000}"/>
    <cellStyle name="Percent 2 4 5" xfId="318" xr:uid="{00000000-0005-0000-0000-000066010000}"/>
    <cellStyle name="Percent 2 4 6" xfId="319" xr:uid="{00000000-0005-0000-0000-000067010000}"/>
    <cellStyle name="Percent 2 4 7" xfId="320" xr:uid="{00000000-0005-0000-0000-000068010000}"/>
    <cellStyle name="Percent 2 4 8" xfId="321" xr:uid="{00000000-0005-0000-0000-000069010000}"/>
    <cellStyle name="Percent 2 4 9" xfId="322" xr:uid="{00000000-0005-0000-0000-00006A010000}"/>
    <cellStyle name="Percent 2 5" xfId="150" xr:uid="{00000000-0005-0000-0000-0000BE000000}"/>
    <cellStyle name="Percent 2 5 2" xfId="151" xr:uid="{00000000-0005-0000-0000-0000BF000000}"/>
    <cellStyle name="Percent 2 5 2 2" xfId="450" xr:uid="{00000000-0005-0000-0000-0000EA010000}"/>
    <cellStyle name="Percent 2 5 3" xfId="451" xr:uid="{00000000-0005-0000-0000-0000EB010000}"/>
    <cellStyle name="Percent 2 6" xfId="152" xr:uid="{00000000-0005-0000-0000-0000C0000000}"/>
    <cellStyle name="Percent 2 6 2" xfId="153" xr:uid="{00000000-0005-0000-0000-0000C1000000}"/>
    <cellStyle name="Percent 2 6 2 2" xfId="452" xr:uid="{00000000-0005-0000-0000-0000EC010000}"/>
    <cellStyle name="Percent 2 6 3" xfId="453" xr:uid="{00000000-0005-0000-0000-0000ED010000}"/>
    <cellStyle name="Percent 2 7" xfId="154" xr:uid="{00000000-0005-0000-0000-0000C2000000}"/>
    <cellStyle name="Percent 2 7 2" xfId="454" xr:uid="{00000000-0005-0000-0000-0000EE010000}"/>
    <cellStyle name="Percent 2 8" xfId="155" xr:uid="{00000000-0005-0000-0000-0000C3000000}"/>
    <cellStyle name="Percent 2 8 2" xfId="455" xr:uid="{00000000-0005-0000-0000-0000EF010000}"/>
    <cellStyle name="Percent 2 9" xfId="156" xr:uid="{00000000-0005-0000-0000-0000C4000000}"/>
    <cellStyle name="Percent 2 9 2" xfId="456" xr:uid="{00000000-0005-0000-0000-0000F0010000}"/>
    <cellStyle name="Percent 3" xfId="31" xr:uid="{00000000-0005-0000-0000-000047000000}"/>
    <cellStyle name="Percent 3 10" xfId="457" xr:uid="{00000000-0005-0000-0000-0000F1010000}"/>
    <cellStyle name="Percent 3 11" xfId="458" xr:uid="{00000000-0005-0000-0000-0000F2010000}"/>
    <cellStyle name="Percent 3 2" xfId="157" xr:uid="{00000000-0005-0000-0000-0000C5000000}"/>
    <cellStyle name="Percent 3 2 2" xfId="158" xr:uid="{00000000-0005-0000-0000-0000C6000000}"/>
    <cellStyle name="Percent 3 2 2 2" xfId="159" xr:uid="{00000000-0005-0000-0000-0000C7000000}"/>
    <cellStyle name="Percent 3 2 2 2 2" xfId="459" xr:uid="{00000000-0005-0000-0000-0000F3010000}"/>
    <cellStyle name="Percent 3 2 2 3" xfId="460" xr:uid="{00000000-0005-0000-0000-0000F4010000}"/>
    <cellStyle name="Percent 3 2 3" xfId="160" xr:uid="{00000000-0005-0000-0000-0000C8000000}"/>
    <cellStyle name="Percent 3 2 3 2" xfId="461" xr:uid="{00000000-0005-0000-0000-0000F5010000}"/>
    <cellStyle name="Percent 3 2 4" xfId="161" xr:uid="{00000000-0005-0000-0000-0000C9000000}"/>
    <cellStyle name="Percent 3 2 4 2" xfId="462" xr:uid="{00000000-0005-0000-0000-0000F6010000}"/>
    <cellStyle name="Percent 3 2 5" xfId="463" xr:uid="{00000000-0005-0000-0000-0000F7010000}"/>
    <cellStyle name="Percent 3 2 6" xfId="464" xr:uid="{00000000-0005-0000-0000-0000F8010000}"/>
    <cellStyle name="Percent 3 3" xfId="162" xr:uid="{00000000-0005-0000-0000-0000CA000000}"/>
    <cellStyle name="Percent 3 3 2" xfId="163" xr:uid="{00000000-0005-0000-0000-0000CB000000}"/>
    <cellStyle name="Percent 3 3 2 2" xfId="465" xr:uid="{00000000-0005-0000-0000-0000F9010000}"/>
    <cellStyle name="Percent 3 3 3" xfId="164" xr:uid="{00000000-0005-0000-0000-0000CC000000}"/>
    <cellStyle name="Percent 3 3 3 2" xfId="466" xr:uid="{00000000-0005-0000-0000-0000FA010000}"/>
    <cellStyle name="Percent 3 3 4" xfId="467" xr:uid="{00000000-0005-0000-0000-0000FB010000}"/>
    <cellStyle name="Percent 3 4" xfId="165" xr:uid="{00000000-0005-0000-0000-0000CD000000}"/>
    <cellStyle name="Percent 3 4 2" xfId="166" xr:uid="{00000000-0005-0000-0000-0000CE000000}"/>
    <cellStyle name="Percent 3 4 2 2" xfId="468" xr:uid="{00000000-0005-0000-0000-0000FC010000}"/>
    <cellStyle name="Percent 3 4 3" xfId="469" xr:uid="{00000000-0005-0000-0000-0000FD010000}"/>
    <cellStyle name="Percent 3 5" xfId="167" xr:uid="{00000000-0005-0000-0000-0000CF000000}"/>
    <cellStyle name="Percent 3 5 2" xfId="168" xr:uid="{00000000-0005-0000-0000-0000D0000000}"/>
    <cellStyle name="Percent 3 5 2 2" xfId="470" xr:uid="{00000000-0005-0000-0000-0000FE010000}"/>
    <cellStyle name="Percent 3 5 3" xfId="471" xr:uid="{00000000-0005-0000-0000-0000FF010000}"/>
    <cellStyle name="Percent 3 6" xfId="169" xr:uid="{00000000-0005-0000-0000-0000D1000000}"/>
    <cellStyle name="Percent 3 6 2" xfId="170" xr:uid="{00000000-0005-0000-0000-0000D2000000}"/>
    <cellStyle name="Percent 3 6 2 2" xfId="472" xr:uid="{00000000-0005-0000-0000-000000020000}"/>
    <cellStyle name="Percent 3 6 3" xfId="473" xr:uid="{00000000-0005-0000-0000-000001020000}"/>
    <cellStyle name="Percent 3 7" xfId="171" xr:uid="{00000000-0005-0000-0000-0000D3000000}"/>
    <cellStyle name="Percent 3 7 2" xfId="474" xr:uid="{00000000-0005-0000-0000-000002020000}"/>
    <cellStyle name="Percent 3 8" xfId="172" xr:uid="{00000000-0005-0000-0000-0000D4000000}"/>
    <cellStyle name="Percent 3 8 2" xfId="475" xr:uid="{00000000-0005-0000-0000-000003020000}"/>
    <cellStyle name="Percent 3 9" xfId="173" xr:uid="{00000000-0005-0000-0000-0000D5000000}"/>
    <cellStyle name="Percent 3 9 2" xfId="476" xr:uid="{00000000-0005-0000-0000-000004020000}"/>
    <cellStyle name="Percent 4" xfId="174" xr:uid="{00000000-0005-0000-0000-0000D6000000}"/>
    <cellStyle name="Percent 4 10" xfId="477" xr:uid="{00000000-0005-0000-0000-000005020000}"/>
    <cellStyle name="Percent 4 11" xfId="478" xr:uid="{00000000-0005-0000-0000-000006020000}"/>
    <cellStyle name="Percent 4 2" xfId="175" xr:uid="{00000000-0005-0000-0000-0000D7000000}"/>
    <cellStyle name="Percent 4 2 2" xfId="176" xr:uid="{00000000-0005-0000-0000-0000D8000000}"/>
    <cellStyle name="Percent 4 2 2 2" xfId="177" xr:uid="{00000000-0005-0000-0000-0000D9000000}"/>
    <cellStyle name="Percent 4 2 2 2 2" xfId="479" xr:uid="{00000000-0005-0000-0000-000007020000}"/>
    <cellStyle name="Percent 4 2 2 3" xfId="480" xr:uid="{00000000-0005-0000-0000-000008020000}"/>
    <cellStyle name="Percent 4 2 3" xfId="178" xr:uid="{00000000-0005-0000-0000-0000DA000000}"/>
    <cellStyle name="Percent 4 2 3 2" xfId="481" xr:uid="{00000000-0005-0000-0000-000009020000}"/>
    <cellStyle name="Percent 4 2 4" xfId="179" xr:uid="{00000000-0005-0000-0000-0000DB000000}"/>
    <cellStyle name="Percent 4 2 4 2" xfId="482" xr:uid="{00000000-0005-0000-0000-00000A020000}"/>
    <cellStyle name="Percent 4 2 5" xfId="483" xr:uid="{00000000-0005-0000-0000-00000B020000}"/>
    <cellStyle name="Percent 4 2 6" xfId="484" xr:uid="{00000000-0005-0000-0000-00000C020000}"/>
    <cellStyle name="Percent 4 3" xfId="180" xr:uid="{00000000-0005-0000-0000-0000DC000000}"/>
    <cellStyle name="Percent 4 3 2" xfId="181" xr:uid="{00000000-0005-0000-0000-0000DD000000}"/>
    <cellStyle name="Percent 4 3 2 2" xfId="485" xr:uid="{00000000-0005-0000-0000-00000D020000}"/>
    <cellStyle name="Percent 4 3 3" xfId="182" xr:uid="{00000000-0005-0000-0000-0000DE000000}"/>
    <cellStyle name="Percent 4 3 3 2" xfId="486" xr:uid="{00000000-0005-0000-0000-00000E020000}"/>
    <cellStyle name="Percent 4 3 4" xfId="487" xr:uid="{00000000-0005-0000-0000-00000F020000}"/>
    <cellStyle name="Percent 4 4" xfId="183" xr:uid="{00000000-0005-0000-0000-0000DF000000}"/>
    <cellStyle name="Percent 4 4 2" xfId="184" xr:uid="{00000000-0005-0000-0000-0000E0000000}"/>
    <cellStyle name="Percent 4 4 2 2" xfId="488" xr:uid="{00000000-0005-0000-0000-000010020000}"/>
    <cellStyle name="Percent 4 4 3" xfId="489" xr:uid="{00000000-0005-0000-0000-000011020000}"/>
    <cellStyle name="Percent 4 5" xfId="185" xr:uid="{00000000-0005-0000-0000-0000E1000000}"/>
    <cellStyle name="Percent 4 5 2" xfId="186" xr:uid="{00000000-0005-0000-0000-0000E2000000}"/>
    <cellStyle name="Percent 4 5 2 2" xfId="490" xr:uid="{00000000-0005-0000-0000-000012020000}"/>
    <cellStyle name="Percent 4 5 3" xfId="491" xr:uid="{00000000-0005-0000-0000-000013020000}"/>
    <cellStyle name="Percent 4 6" xfId="187" xr:uid="{00000000-0005-0000-0000-0000E3000000}"/>
    <cellStyle name="Percent 4 6 2" xfId="188" xr:uid="{00000000-0005-0000-0000-0000E4000000}"/>
    <cellStyle name="Percent 4 6 2 2" xfId="492" xr:uid="{00000000-0005-0000-0000-000014020000}"/>
    <cellStyle name="Percent 4 6 3" xfId="493" xr:uid="{00000000-0005-0000-0000-000015020000}"/>
    <cellStyle name="Percent 4 7" xfId="189" xr:uid="{00000000-0005-0000-0000-0000E5000000}"/>
    <cellStyle name="Percent 4 7 2" xfId="494" xr:uid="{00000000-0005-0000-0000-000016020000}"/>
    <cellStyle name="Percent 4 8" xfId="190" xr:uid="{00000000-0005-0000-0000-0000E6000000}"/>
    <cellStyle name="Percent 4 8 2" xfId="495" xr:uid="{00000000-0005-0000-0000-000017020000}"/>
    <cellStyle name="Percent 4 9" xfId="191" xr:uid="{00000000-0005-0000-0000-0000E7000000}"/>
    <cellStyle name="Percent 4 9 2" xfId="496" xr:uid="{00000000-0005-0000-0000-000018020000}"/>
    <cellStyle name="Percent 5" xfId="192" xr:uid="{00000000-0005-0000-0000-0000E8000000}"/>
    <cellStyle name="Percent 5 10" xfId="497" xr:uid="{00000000-0005-0000-0000-000019020000}"/>
    <cellStyle name="Percent 5 2" xfId="193" xr:uid="{00000000-0005-0000-0000-0000E9000000}"/>
    <cellStyle name="Percent 5 2 2" xfId="194" xr:uid="{00000000-0005-0000-0000-0000EA000000}"/>
    <cellStyle name="Percent 5 2 2 2" xfId="498" xr:uid="{00000000-0005-0000-0000-00001A020000}"/>
    <cellStyle name="Percent 5 2 3" xfId="195" xr:uid="{00000000-0005-0000-0000-0000EB000000}"/>
    <cellStyle name="Percent 5 2 3 2" xfId="499" xr:uid="{00000000-0005-0000-0000-00001B020000}"/>
    <cellStyle name="Percent 5 2 4" xfId="500" xr:uid="{00000000-0005-0000-0000-00001C020000}"/>
    <cellStyle name="Percent 5 3" xfId="196" xr:uid="{00000000-0005-0000-0000-0000EC000000}"/>
    <cellStyle name="Percent 5 3 2" xfId="197" xr:uid="{00000000-0005-0000-0000-0000ED000000}"/>
    <cellStyle name="Percent 5 3 2 2" xfId="501" xr:uid="{00000000-0005-0000-0000-00001D020000}"/>
    <cellStyle name="Percent 5 3 3" xfId="502" xr:uid="{00000000-0005-0000-0000-00001E020000}"/>
    <cellStyle name="Percent 5 4" xfId="198" xr:uid="{00000000-0005-0000-0000-0000EE000000}"/>
    <cellStyle name="Percent 5 4 2" xfId="199" xr:uid="{00000000-0005-0000-0000-0000EF000000}"/>
    <cellStyle name="Percent 5 4 2 2" xfId="503" xr:uid="{00000000-0005-0000-0000-00001F020000}"/>
    <cellStyle name="Percent 5 4 3" xfId="504" xr:uid="{00000000-0005-0000-0000-000020020000}"/>
    <cellStyle name="Percent 5 5" xfId="200" xr:uid="{00000000-0005-0000-0000-0000F0000000}"/>
    <cellStyle name="Percent 5 5 2" xfId="201" xr:uid="{00000000-0005-0000-0000-0000F1000000}"/>
    <cellStyle name="Percent 5 5 2 2" xfId="505" xr:uid="{00000000-0005-0000-0000-000021020000}"/>
    <cellStyle name="Percent 5 5 3" xfId="506" xr:uid="{00000000-0005-0000-0000-000022020000}"/>
    <cellStyle name="Percent 5 6" xfId="202" xr:uid="{00000000-0005-0000-0000-0000F2000000}"/>
    <cellStyle name="Percent 5 6 2" xfId="507" xr:uid="{00000000-0005-0000-0000-000023020000}"/>
    <cellStyle name="Percent 5 7" xfId="203" xr:uid="{00000000-0005-0000-0000-0000F3000000}"/>
    <cellStyle name="Percent 5 7 2" xfId="508" xr:uid="{00000000-0005-0000-0000-000024020000}"/>
    <cellStyle name="Percent 5 8" xfId="204" xr:uid="{00000000-0005-0000-0000-0000F4000000}"/>
    <cellStyle name="Percent 5 8 2" xfId="509" xr:uid="{00000000-0005-0000-0000-000025020000}"/>
    <cellStyle name="Percent 5 9" xfId="510" xr:uid="{00000000-0005-0000-0000-000026020000}"/>
    <cellStyle name="Percent 6" xfId="323" xr:uid="{00000000-0005-0000-0000-00006B010000}"/>
    <cellStyle name="Percent 7" xfId="519" xr:uid="{00000000-0005-0000-0000-00002F020000}"/>
    <cellStyle name="Percent 9" xfId="324" xr:uid="{00000000-0005-0000-0000-00006C010000}"/>
    <cellStyle name="Title 2" xfId="13" xr:uid="{00000000-0005-0000-0000-000035000000}"/>
    <cellStyle name="Total 2" xfId="325" xr:uid="{00000000-0005-0000-0000-00006D010000}"/>
    <cellStyle name="Warning Text 2" xfId="326" xr:uid="{00000000-0005-0000-0000-00006E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/>
                <a:ea typeface="Georgia"/>
                <a:cs typeface="Georgia"/>
              </a:defRPr>
            </a:pPr>
            <a:r>
              <a:rPr lang="en-US">
                <a:solidFill>
                  <a:sysClr val="windowText" lastClr="000000"/>
                </a:solidFill>
              </a:rPr>
              <a:t>Figure 1: Sources of Growth in U.S. Economic Welfare</a:t>
            </a:r>
          </a:p>
        </c:rich>
      </c:tx>
      <c:layout>
        <c:manualLayout>
          <c:xMode val="edge"/>
          <c:yMode val="edge"/>
          <c:x val="1.8712962962962959E-2"/>
          <c:y val="2.777777777777778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203758384368621E-2"/>
          <c:y val="0.1836114756488772"/>
          <c:w val="0.88249945319335088"/>
          <c:h val="0.60826370662000584"/>
        </c:manualLayout>
      </c:layout>
      <c:barChart>
        <c:barDir val="col"/>
        <c:grouping val="stacked"/>
        <c:varyColors val="0"/>
        <c:ser>
          <c:idx val="0"/>
          <c:order val="0"/>
          <c:tx>
            <c:v>Consumption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Lit>
              <c:ptCount val="3"/>
              <c:pt idx="0">
                <c:v>1979-2017</c:v>
              </c:pt>
              <c:pt idx="1">
                <c:v>1979-1998</c:v>
              </c:pt>
              <c:pt idx="2">
                <c:v>1998-2017</c:v>
              </c:pt>
            </c:strLit>
          </c:cat>
          <c:val>
            <c:numRef>
              <c:f>(data!$V$55,data!$V$56,data!$V$57)</c:f>
              <c:numCache>
                <c:formatCode>0.000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6-45BF-9CE4-88511F2EC5E2}"/>
            </c:ext>
          </c:extLst>
        </c:ser>
        <c:ser>
          <c:idx val="1"/>
          <c:order val="1"/>
          <c:tx>
            <c:v>Life Expectancy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Lit>
              <c:ptCount val="3"/>
              <c:pt idx="0">
                <c:v>1979-2017</c:v>
              </c:pt>
              <c:pt idx="1">
                <c:v>1979-1998</c:v>
              </c:pt>
              <c:pt idx="2">
                <c:v>1998-2017</c:v>
              </c:pt>
            </c:strLit>
          </c:cat>
          <c:val>
            <c:numRef>
              <c:f>(data!$U$55,data!$U$56,data!$U$57)</c:f>
              <c:numCache>
                <c:formatCode>0.000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6-45BF-9CE4-88511F2EC5E2}"/>
            </c:ext>
          </c:extLst>
        </c:ser>
        <c:ser>
          <c:idx val="2"/>
          <c:order val="2"/>
          <c:tx>
            <c:v>Leisure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Lit>
              <c:ptCount val="3"/>
              <c:pt idx="0">
                <c:v>1979-2017</c:v>
              </c:pt>
              <c:pt idx="1">
                <c:v>1979-1998</c:v>
              </c:pt>
              <c:pt idx="2">
                <c:v>1998-2017</c:v>
              </c:pt>
            </c:strLit>
          </c:cat>
          <c:val>
            <c:numRef>
              <c:f>(data!$W$55,data!$W$56,data!$W$57)</c:f>
              <c:numCache>
                <c:formatCode>0.000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A6-45BF-9CE4-88511F2EC5E2}"/>
            </c:ext>
          </c:extLst>
        </c:ser>
        <c:ser>
          <c:idx val="3"/>
          <c:order val="3"/>
          <c:tx>
            <c:v>Inequality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Lit>
              <c:ptCount val="3"/>
              <c:pt idx="0">
                <c:v>1979-2017</c:v>
              </c:pt>
              <c:pt idx="1">
                <c:v>1979-1998</c:v>
              </c:pt>
              <c:pt idx="2">
                <c:v>1998-2017</c:v>
              </c:pt>
            </c:strLit>
          </c:cat>
          <c:val>
            <c:numRef>
              <c:f>(data!$X$55,data!$X$56,data!$X$57)</c:f>
              <c:numCache>
                <c:formatCode>0.000</c:formatCode>
                <c:ptCount val="3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A6-45BF-9CE4-88511F2EC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666096"/>
        <c:axId val="353889224"/>
      </c:barChart>
      <c:catAx>
        <c:axId val="21466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>
                <a:alpha val="75000"/>
                <a:lumMod val="50000"/>
                <a:lumOff val="5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53889224"/>
        <c:crosses val="autoZero"/>
        <c:auto val="1"/>
        <c:lblAlgn val="ctr"/>
        <c:lblOffset val="100"/>
        <c:noMultiLvlLbl val="0"/>
      </c:catAx>
      <c:valAx>
        <c:axId val="353889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  <a:headEnd w="med" len="med"/>
              <a:tailEnd w="med" len="med"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46660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74318387284922705"/>
          <c:y val="0.18541885389326329"/>
          <c:w val="0.2058734324876057"/>
          <c:h val="0.26828484981044037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ysClr val="window" lastClr="FFFFFF">
        <a:lumMod val="100000"/>
      </a:sysClr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28575</xdr:colOff>
      <xdr:row>28</xdr:row>
      <xdr:rowOff>47625</xdr:rowOff>
    </xdr:from>
    <xdr:to>
      <xdr:col>35</xdr:col>
      <xdr:colOff>28575</xdr:colOff>
      <xdr:row>56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28</xdr:col>
      <xdr:colOff>28575</xdr:colOff>
      <xdr:row>5</xdr:row>
      <xdr:rowOff>66675</xdr:rowOff>
    </xdr:from>
    <xdr:to>
      <xdr:col>36</xdr:col>
      <xdr:colOff>351568</xdr:colOff>
      <xdr:row>15</xdr:row>
      <xdr:rowOff>37865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11650" y="1866900"/>
          <a:ext cx="6857143" cy="18761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28</xdr:col>
      <xdr:colOff>38100</xdr:colOff>
      <xdr:row>17</xdr:row>
      <xdr:rowOff>85725</xdr:rowOff>
    </xdr:from>
    <xdr:to>
      <xdr:col>29</xdr:col>
      <xdr:colOff>571500</xdr:colOff>
      <xdr:row>20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021175" y="4171950"/>
          <a:ext cx="2800350" cy="5429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2"/>
  <sheetViews>
    <sheetView tabSelected="1" workbookViewId="0">
      <pane xSplit="1" topLeftCell="O1" activePane="topRight" state="frozen"/>
      <selection pane="topRight" activeCell="X4" sqref="X4"/>
    </sheetView>
  </sheetViews>
  <sheetFormatPr defaultColWidth="9.109375" defaultRowHeight="14.4" x14ac:dyDescent="0.3"/>
  <cols>
    <col min="2" max="3" width="8.44140625" customWidth="1"/>
    <col min="4" max="5" width="9.44140625" customWidth="1"/>
    <col min="6" max="8" width="8.44140625" customWidth="1"/>
    <col min="9" max="9" width="4.6640625" customWidth="1"/>
    <col min="10" max="14" width="10.109375" customWidth="1"/>
    <col min="15" max="15" width="16" customWidth="1"/>
    <col min="16" max="19" width="11.6640625" customWidth="1"/>
    <col min="20" max="20" width="4.6640625" customWidth="1"/>
    <col min="21" max="25" width="10.88671875" customWidth="1"/>
    <col min="26" max="26" width="4.6640625" customWidth="1"/>
    <col min="28" max="28" width="4.6640625" customWidth="1"/>
    <col min="29" max="29" width="34" customWidth="1"/>
  </cols>
  <sheetData>
    <row r="1" spans="1:30" x14ac:dyDescent="0.3">
      <c r="B1" s="23" t="s">
        <v>0</v>
      </c>
      <c r="C1" s="24"/>
      <c r="D1" s="24"/>
      <c r="E1" s="24"/>
      <c r="F1" s="24"/>
      <c r="G1" s="24"/>
      <c r="H1" s="24"/>
      <c r="J1" s="23" t="s">
        <v>1</v>
      </c>
      <c r="K1" s="23"/>
      <c r="L1" s="23"/>
      <c r="M1" s="23"/>
      <c r="N1" s="23"/>
      <c r="O1" s="23"/>
      <c r="P1" s="23" t="s">
        <v>2</v>
      </c>
      <c r="Q1" s="24"/>
      <c r="R1" s="24"/>
      <c r="S1" s="24"/>
      <c r="U1" s="23" t="s">
        <v>3</v>
      </c>
      <c r="V1" s="24"/>
      <c r="W1" s="24"/>
      <c r="X1" s="24"/>
      <c r="Y1" s="24"/>
      <c r="AA1" s="10" t="s">
        <v>4</v>
      </c>
      <c r="AC1" s="23" t="s">
        <v>5</v>
      </c>
      <c r="AD1" s="24"/>
    </row>
    <row r="2" spans="1:30" s="11" customFormat="1" ht="81.75" customHeight="1" x14ac:dyDescent="0.3">
      <c r="A2" s="11" t="s">
        <v>6</v>
      </c>
      <c r="B2" s="11" t="s">
        <v>7</v>
      </c>
      <c r="C2" s="12" t="s">
        <v>8</v>
      </c>
      <c r="D2" s="11" t="s">
        <v>9</v>
      </c>
      <c r="E2" s="11" t="s">
        <v>10</v>
      </c>
      <c r="F2" s="11" t="s">
        <v>11</v>
      </c>
      <c r="G2" s="11" t="s">
        <v>12</v>
      </c>
      <c r="H2" s="11" t="s">
        <v>13</v>
      </c>
      <c r="J2" s="11" t="s">
        <v>14</v>
      </c>
      <c r="K2" s="11" t="s">
        <v>15</v>
      </c>
      <c r="L2" s="11" t="s">
        <v>16</v>
      </c>
      <c r="M2" s="12" t="s">
        <v>17</v>
      </c>
      <c r="N2" s="11" t="s">
        <v>18</v>
      </c>
      <c r="O2" s="11" t="s">
        <v>19</v>
      </c>
      <c r="P2" s="11" t="s">
        <v>20</v>
      </c>
      <c r="Q2" s="11" t="s">
        <v>21</v>
      </c>
      <c r="R2" s="11" t="s">
        <v>22</v>
      </c>
      <c r="S2" s="11" t="s">
        <v>23</v>
      </c>
      <c r="U2" s="11" t="s">
        <v>24</v>
      </c>
      <c r="V2" s="11" t="s">
        <v>25</v>
      </c>
      <c r="W2" s="11" t="s">
        <v>26</v>
      </c>
      <c r="X2" s="11" t="s">
        <v>27</v>
      </c>
      <c r="Y2" s="11" t="s">
        <v>28</v>
      </c>
      <c r="AA2" s="11" t="s">
        <v>29</v>
      </c>
    </row>
    <row r="3" spans="1:30" x14ac:dyDescent="0.3">
      <c r="A3">
        <v>1979</v>
      </c>
      <c r="B3" s="4"/>
      <c r="C3" s="4"/>
      <c r="D3" s="4">
        <v>224567</v>
      </c>
      <c r="E3" s="4">
        <v>101777.57</v>
      </c>
      <c r="F3" s="4">
        <v>1856.07</v>
      </c>
      <c r="G3" s="16">
        <v>0.40400000000000003</v>
      </c>
      <c r="H3" s="17">
        <v>73.804900000000004</v>
      </c>
      <c r="J3" s="4">
        <f t="shared" ref="J3:J49" si="0">F3*E3/D3</f>
        <v>841.20237768639208</v>
      </c>
      <c r="K3" s="5">
        <f t="shared" ref="K3:K49" si="1">1-J3/(365*16)</f>
        <v>0.85595849697150816</v>
      </c>
      <c r="L3" s="5">
        <f t="shared" ref="L3:L49" si="2">B3/D3</f>
        <v>0</v>
      </c>
      <c r="M3" s="5">
        <f t="shared" ref="M3:M49" si="3">C3/D3</f>
        <v>0</v>
      </c>
      <c r="N3" s="5">
        <f t="shared" ref="N3:N49" si="4">(SQRT(2)*_xlfn.NORM.INV(((G3+1)/2),0,1))^2</f>
        <v>0.56214231564671313</v>
      </c>
      <c r="P3" s="3"/>
      <c r="Q3" s="3"/>
      <c r="R3" s="3"/>
      <c r="S3" s="3"/>
      <c r="T3" s="6"/>
      <c r="U3" s="6"/>
      <c r="V3" s="6"/>
      <c r="W3" s="6"/>
      <c r="X3" s="6"/>
      <c r="Y3" s="6"/>
      <c r="AA3" s="6"/>
      <c r="AC3" s="7" t="s">
        <v>30</v>
      </c>
      <c r="AD3" s="1">
        <v>5.2324999999999999</v>
      </c>
    </row>
    <row r="4" spans="1:30" x14ac:dyDescent="0.3">
      <c r="A4">
        <v>1980</v>
      </c>
      <c r="B4" s="4"/>
      <c r="C4" s="4"/>
      <c r="D4" s="4">
        <v>227225</v>
      </c>
      <c r="E4" s="4">
        <v>102284.961</v>
      </c>
      <c r="F4" s="4">
        <v>1840.47</v>
      </c>
      <c r="G4" s="16">
        <v>0.40300000000000002</v>
      </c>
      <c r="H4" s="17">
        <v>73.609800000000007</v>
      </c>
      <c r="J4" s="4">
        <f t="shared" si="0"/>
        <v>828.48455131112325</v>
      </c>
      <c r="K4" s="5">
        <f t="shared" si="1"/>
        <v>0.85813620696727344</v>
      </c>
      <c r="L4" s="5">
        <f t="shared" si="2"/>
        <v>0</v>
      </c>
      <c r="M4" s="5">
        <f t="shared" si="3"/>
        <v>0</v>
      </c>
      <c r="N4" s="5">
        <f t="shared" si="4"/>
        <v>0.55908876541439445</v>
      </c>
      <c r="P4" s="3"/>
      <c r="Q4" s="3"/>
      <c r="R4" s="3"/>
      <c r="S4" s="3"/>
      <c r="T4" s="6"/>
      <c r="U4" s="6"/>
      <c r="V4" s="6"/>
      <c r="W4" s="6"/>
      <c r="X4" s="6"/>
      <c r="Y4" s="6"/>
      <c r="AA4" s="6"/>
      <c r="AC4" t="s">
        <v>31</v>
      </c>
      <c r="AD4" s="2">
        <v>1</v>
      </c>
    </row>
    <row r="5" spans="1:30" x14ac:dyDescent="0.3">
      <c r="A5">
        <v>1981</v>
      </c>
      <c r="B5" s="4"/>
      <c r="C5" s="4"/>
      <c r="D5" s="4">
        <v>229466</v>
      </c>
      <c r="E5" s="4">
        <v>103464.898</v>
      </c>
      <c r="F5" s="4">
        <v>1828.64</v>
      </c>
      <c r="G5" s="16">
        <v>0.40600000000000003</v>
      </c>
      <c r="H5" s="17">
        <v>74.009799999999998</v>
      </c>
      <c r="J5" s="4">
        <f t="shared" si="0"/>
        <v>824.52324561686703</v>
      </c>
      <c r="K5" s="5">
        <f t="shared" si="1"/>
        <v>0.85881451273683784</v>
      </c>
      <c r="L5" s="5">
        <f t="shared" si="2"/>
        <v>0</v>
      </c>
      <c r="M5" s="5">
        <f t="shared" si="3"/>
        <v>0</v>
      </c>
      <c r="N5" s="5">
        <f t="shared" si="4"/>
        <v>0.56828142995161801</v>
      </c>
      <c r="P5" s="3"/>
      <c r="Q5" s="3"/>
      <c r="R5" s="3"/>
      <c r="S5" s="3"/>
      <c r="T5" s="6"/>
      <c r="U5" s="6"/>
      <c r="V5" s="6"/>
      <c r="W5" s="6"/>
      <c r="X5" s="6"/>
      <c r="Y5" s="6"/>
      <c r="AA5" s="6"/>
      <c r="AC5" t="s">
        <v>32</v>
      </c>
      <c r="AD5" s="2">
        <v>14.172748</v>
      </c>
    </row>
    <row r="6" spans="1:30" x14ac:dyDescent="0.3">
      <c r="A6">
        <v>1982</v>
      </c>
      <c r="B6" s="4"/>
      <c r="C6" s="4"/>
      <c r="D6" s="4">
        <v>231664</v>
      </c>
      <c r="E6" s="4">
        <v>102685.93</v>
      </c>
      <c r="F6" s="4">
        <v>1809.88</v>
      </c>
      <c r="G6" s="16">
        <v>0.41199999999999998</v>
      </c>
      <c r="H6" s="17">
        <v>74.361000000000004</v>
      </c>
      <c r="J6" s="4">
        <f t="shared" si="0"/>
        <v>802.23604439360463</v>
      </c>
      <c r="K6" s="5">
        <f t="shared" si="1"/>
        <v>0.86263081431616362</v>
      </c>
      <c r="L6" s="5">
        <f t="shared" si="2"/>
        <v>0</v>
      </c>
      <c r="M6" s="5">
        <f t="shared" si="3"/>
        <v>0</v>
      </c>
      <c r="N6" s="5">
        <f t="shared" si="4"/>
        <v>0.58695700112573512</v>
      </c>
      <c r="P6" s="3"/>
      <c r="Q6" s="3"/>
      <c r="R6" s="3"/>
      <c r="S6" s="3"/>
      <c r="T6" s="6"/>
      <c r="U6" s="6"/>
      <c r="V6" s="6"/>
      <c r="W6" s="6"/>
      <c r="X6" s="6"/>
      <c r="Y6" s="6"/>
      <c r="AA6" s="6"/>
      <c r="AC6" t="s">
        <v>33</v>
      </c>
      <c r="AD6">
        <v>2007</v>
      </c>
    </row>
    <row r="7" spans="1:30" x14ac:dyDescent="0.3">
      <c r="A7">
        <v>1983</v>
      </c>
      <c r="B7" s="4"/>
      <c r="C7" s="4"/>
      <c r="D7" s="4">
        <v>233792</v>
      </c>
      <c r="E7" s="4">
        <v>104014.25</v>
      </c>
      <c r="F7" s="4">
        <v>1819.48</v>
      </c>
      <c r="G7" s="16">
        <v>0.41399999999999998</v>
      </c>
      <c r="H7" s="17">
        <v>74.463399999999993</v>
      </c>
      <c r="J7" s="4">
        <f t="shared" si="0"/>
        <v>809.48812444395014</v>
      </c>
      <c r="K7" s="5">
        <f t="shared" si="1"/>
        <v>0.86138901978699489</v>
      </c>
      <c r="L7" s="5">
        <f t="shared" si="2"/>
        <v>0</v>
      </c>
      <c r="M7" s="5">
        <f t="shared" si="3"/>
        <v>0</v>
      </c>
      <c r="N7" s="5">
        <f t="shared" si="4"/>
        <v>0.59326906428656256</v>
      </c>
      <c r="P7" s="3"/>
      <c r="Q7" s="3"/>
      <c r="R7" s="3"/>
      <c r="S7" s="3"/>
      <c r="T7" s="6"/>
      <c r="U7" s="6"/>
      <c r="V7" s="6"/>
      <c r="W7" s="6"/>
      <c r="X7" s="6"/>
      <c r="Y7" s="6"/>
      <c r="AA7" s="6"/>
      <c r="AC7" t="s">
        <v>34</v>
      </c>
    </row>
    <row r="8" spans="1:30" x14ac:dyDescent="0.3">
      <c r="A8">
        <v>1984</v>
      </c>
      <c r="B8" s="4"/>
      <c r="C8" s="4"/>
      <c r="D8" s="4">
        <v>235825</v>
      </c>
      <c r="E8" s="4">
        <v>108241.969</v>
      </c>
      <c r="F8" s="4">
        <v>1835.54</v>
      </c>
      <c r="G8" s="16">
        <v>0.41499999999999998</v>
      </c>
      <c r="H8" s="17">
        <v>74.563400000000001</v>
      </c>
      <c r="J8" s="4">
        <f t="shared" si="0"/>
        <v>842.49958137712281</v>
      </c>
      <c r="K8" s="5">
        <f t="shared" si="1"/>
        <v>0.85573637305186256</v>
      </c>
      <c r="L8" s="5">
        <f t="shared" si="2"/>
        <v>0</v>
      </c>
      <c r="M8" s="5">
        <f t="shared" si="3"/>
        <v>0</v>
      </c>
      <c r="N8" s="5">
        <f t="shared" si="4"/>
        <v>0.59644152107889548</v>
      </c>
      <c r="P8" s="3"/>
      <c r="Q8" s="3"/>
      <c r="R8" s="3"/>
      <c r="S8" s="3"/>
      <c r="T8" s="6"/>
      <c r="U8" s="6"/>
      <c r="V8" s="6"/>
      <c r="W8" s="6"/>
      <c r="X8" s="6"/>
      <c r="Y8" s="6"/>
      <c r="AA8" s="6"/>
    </row>
    <row r="9" spans="1:30" x14ac:dyDescent="0.3">
      <c r="A9">
        <v>1985</v>
      </c>
      <c r="B9" s="4"/>
      <c r="C9" s="4"/>
      <c r="D9" s="4">
        <v>237924</v>
      </c>
      <c r="E9" s="4">
        <v>110442.57799999999</v>
      </c>
      <c r="F9" s="4">
        <v>1840.8</v>
      </c>
      <c r="G9" s="16">
        <v>0.41899999999999998</v>
      </c>
      <c r="H9" s="17">
        <v>74.563400000000001</v>
      </c>
      <c r="J9" s="4">
        <f t="shared" si="0"/>
        <v>854.48587608816263</v>
      </c>
      <c r="K9" s="5">
        <f t="shared" si="1"/>
        <v>0.85368392532736936</v>
      </c>
      <c r="L9" s="5">
        <f t="shared" si="2"/>
        <v>0</v>
      </c>
      <c r="M9" s="5">
        <f t="shared" si="3"/>
        <v>0</v>
      </c>
      <c r="N9" s="5">
        <f t="shared" si="4"/>
        <v>0.60924157108651578</v>
      </c>
      <c r="P9" s="3"/>
      <c r="Q9" s="3"/>
      <c r="R9" s="3"/>
      <c r="S9" s="3"/>
      <c r="T9" s="6"/>
      <c r="U9" s="6"/>
      <c r="V9" s="6"/>
      <c r="W9" s="6"/>
      <c r="X9" s="6"/>
      <c r="Y9" s="6"/>
      <c r="AA9" s="6"/>
    </row>
    <row r="10" spans="1:30" x14ac:dyDescent="0.3">
      <c r="A10">
        <v>1986</v>
      </c>
      <c r="B10" s="4"/>
      <c r="C10" s="4"/>
      <c r="D10" s="4">
        <v>240133</v>
      </c>
      <c r="E10" s="4">
        <v>112932.70299999999</v>
      </c>
      <c r="F10" s="4">
        <v>1821.1</v>
      </c>
      <c r="G10" s="16">
        <v>0.42499999999999999</v>
      </c>
      <c r="H10" s="17">
        <v>74.614599999999996</v>
      </c>
      <c r="J10" s="4">
        <f t="shared" si="0"/>
        <v>856.44932363856697</v>
      </c>
      <c r="K10" s="5">
        <f t="shared" si="1"/>
        <v>0.85334771855503988</v>
      </c>
      <c r="L10" s="5">
        <f t="shared" si="2"/>
        <v>0</v>
      </c>
      <c r="M10" s="5">
        <f t="shared" si="3"/>
        <v>0</v>
      </c>
      <c r="N10" s="5">
        <f t="shared" si="4"/>
        <v>0.62877577990782141</v>
      </c>
      <c r="P10" s="3"/>
      <c r="Q10" s="3"/>
      <c r="R10" s="3"/>
      <c r="S10" s="3"/>
      <c r="T10" s="6"/>
      <c r="U10" s="6"/>
      <c r="V10" s="6"/>
      <c r="W10" s="6"/>
      <c r="X10" s="6"/>
      <c r="Y10" s="6"/>
      <c r="AA10" s="6"/>
    </row>
    <row r="11" spans="1:30" x14ac:dyDescent="0.3">
      <c r="A11">
        <v>1987</v>
      </c>
      <c r="B11" s="4"/>
      <c r="C11" s="4"/>
      <c r="D11" s="4">
        <v>242289</v>
      </c>
      <c r="E11" s="4">
        <v>115813.242</v>
      </c>
      <c r="F11" s="4">
        <v>1828.61</v>
      </c>
      <c r="G11" s="16">
        <v>0.42599999999999999</v>
      </c>
      <c r="H11" s="17">
        <v>74.765900000000002</v>
      </c>
      <c r="J11" s="4">
        <f t="shared" si="0"/>
        <v>874.06878749600673</v>
      </c>
      <c r="K11" s="5">
        <f t="shared" si="1"/>
        <v>0.85033068707260162</v>
      </c>
      <c r="L11" s="5">
        <f t="shared" si="2"/>
        <v>0</v>
      </c>
      <c r="M11" s="5">
        <f t="shared" si="3"/>
        <v>0</v>
      </c>
      <c r="N11" s="5">
        <f t="shared" si="4"/>
        <v>0.63207087499472459</v>
      </c>
      <c r="P11" s="3"/>
      <c r="Q11" s="3"/>
      <c r="R11" s="3"/>
      <c r="S11" s="3"/>
      <c r="T11" s="6"/>
      <c r="U11" s="6"/>
      <c r="V11" s="6"/>
      <c r="W11" s="6"/>
      <c r="X11" s="6"/>
      <c r="Y11" s="6"/>
      <c r="AA11" s="6"/>
    </row>
    <row r="12" spans="1:30" x14ac:dyDescent="0.3">
      <c r="A12">
        <v>1988</v>
      </c>
      <c r="B12" s="4"/>
      <c r="C12" s="4"/>
      <c r="D12" s="4">
        <v>244499</v>
      </c>
      <c r="E12" s="4">
        <v>118319.594</v>
      </c>
      <c r="F12" s="4">
        <v>1839.12</v>
      </c>
      <c r="G12" s="16">
        <v>0.42599999999999999</v>
      </c>
      <c r="H12" s="17">
        <v>74.765900000000002</v>
      </c>
      <c r="J12" s="4">
        <f t="shared" si="0"/>
        <v>889.99927082433862</v>
      </c>
      <c r="K12" s="5">
        <f t="shared" si="1"/>
        <v>0.84760286458487355</v>
      </c>
      <c r="L12" s="5">
        <f t="shared" si="2"/>
        <v>0</v>
      </c>
      <c r="M12" s="5">
        <f t="shared" si="3"/>
        <v>0</v>
      </c>
      <c r="N12" s="5">
        <f t="shared" si="4"/>
        <v>0.63207087499472459</v>
      </c>
      <c r="P12" s="3"/>
      <c r="Q12" s="3"/>
      <c r="R12" s="3"/>
      <c r="S12" s="3"/>
      <c r="T12" s="6"/>
      <c r="U12" s="6"/>
      <c r="V12" s="6"/>
      <c r="W12" s="6"/>
      <c r="X12" s="6"/>
      <c r="Y12" s="6"/>
      <c r="AA12" s="6"/>
    </row>
    <row r="13" spans="1:30" x14ac:dyDescent="0.3">
      <c r="A13">
        <v>1989</v>
      </c>
      <c r="B13" s="4"/>
      <c r="C13" s="4"/>
      <c r="D13" s="4">
        <v>246819</v>
      </c>
      <c r="E13" s="4">
        <v>120664.992</v>
      </c>
      <c r="F13" s="4">
        <v>1852.08</v>
      </c>
      <c r="G13" s="16">
        <v>0.43099999999999999</v>
      </c>
      <c r="H13" s="17">
        <v>75.017099999999999</v>
      </c>
      <c r="J13" s="4">
        <f t="shared" si="0"/>
        <v>905.44576545306484</v>
      </c>
      <c r="K13" s="5">
        <f t="shared" si="1"/>
        <v>0.84495791687447519</v>
      </c>
      <c r="L13" s="5">
        <f t="shared" si="2"/>
        <v>0</v>
      </c>
      <c r="M13" s="5">
        <f t="shared" si="3"/>
        <v>0</v>
      </c>
      <c r="N13" s="5">
        <f t="shared" si="4"/>
        <v>0.64871714835341521</v>
      </c>
      <c r="P13" s="3"/>
      <c r="Q13" s="3"/>
      <c r="R13" s="3"/>
      <c r="S13" s="3"/>
      <c r="T13" s="6"/>
      <c r="U13" s="6"/>
      <c r="V13" s="6"/>
      <c r="W13" s="6"/>
      <c r="X13" s="6"/>
      <c r="Y13" s="6"/>
      <c r="AA13" s="6"/>
    </row>
    <row r="14" spans="1:30" x14ac:dyDescent="0.3">
      <c r="A14">
        <v>1990</v>
      </c>
      <c r="B14" s="4"/>
      <c r="C14" s="4"/>
      <c r="D14" s="4">
        <v>249623</v>
      </c>
      <c r="E14" s="4">
        <v>122075.57799999999</v>
      </c>
      <c r="F14" s="4">
        <v>1836.18</v>
      </c>
      <c r="G14" s="16">
        <v>0.42799999999999999</v>
      </c>
      <c r="H14" s="17">
        <v>75.214600000000004</v>
      </c>
      <c r="J14" s="4">
        <f t="shared" si="0"/>
        <v>897.96507057458643</v>
      </c>
      <c r="K14" s="5">
        <f t="shared" si="1"/>
        <v>0.84623885777832419</v>
      </c>
      <c r="L14" s="5">
        <f t="shared" si="2"/>
        <v>0</v>
      </c>
      <c r="M14" s="5">
        <f t="shared" si="3"/>
        <v>0</v>
      </c>
      <c r="N14" s="5">
        <f t="shared" si="4"/>
        <v>0.63869512505855441</v>
      </c>
      <c r="P14" s="3"/>
      <c r="Q14" s="3"/>
      <c r="R14" s="3"/>
      <c r="S14" s="3"/>
      <c r="T14" s="6"/>
      <c r="U14" s="6"/>
      <c r="V14" s="6"/>
      <c r="W14" s="6"/>
      <c r="X14" s="6"/>
      <c r="Y14" s="6"/>
      <c r="AA14" s="6"/>
    </row>
    <row r="15" spans="1:30" x14ac:dyDescent="0.3">
      <c r="A15">
        <v>1991</v>
      </c>
      <c r="B15" s="4"/>
      <c r="C15" s="4"/>
      <c r="D15" s="4">
        <v>252981</v>
      </c>
      <c r="E15" s="4">
        <v>121069.17200000001</v>
      </c>
      <c r="F15" s="4">
        <v>1827.74</v>
      </c>
      <c r="G15" s="16">
        <v>0.42799999999999999</v>
      </c>
      <c r="H15" s="17">
        <v>75.365899999999996</v>
      </c>
      <c r="J15" s="4">
        <f t="shared" si="0"/>
        <v>874.70192793640638</v>
      </c>
      <c r="K15" s="5">
        <f t="shared" si="1"/>
        <v>0.85022227261362904</v>
      </c>
      <c r="L15" s="5">
        <f t="shared" si="2"/>
        <v>0</v>
      </c>
      <c r="M15" s="5">
        <f t="shared" si="3"/>
        <v>0</v>
      </c>
      <c r="N15" s="5">
        <f t="shared" si="4"/>
        <v>0.63869512505855441</v>
      </c>
      <c r="P15" s="3"/>
      <c r="Q15" s="3"/>
      <c r="R15" s="3"/>
      <c r="S15" s="3"/>
      <c r="T15" s="6"/>
      <c r="U15" s="6"/>
      <c r="V15" s="6"/>
      <c r="W15" s="6"/>
      <c r="X15" s="6"/>
      <c r="Y15" s="6"/>
      <c r="AA15" s="6"/>
    </row>
    <row r="16" spans="1:30" x14ac:dyDescent="0.3">
      <c r="A16">
        <v>1992</v>
      </c>
      <c r="B16" s="4"/>
      <c r="C16" s="4"/>
      <c r="D16" s="4">
        <v>256514</v>
      </c>
      <c r="E16" s="4">
        <v>121819.17200000001</v>
      </c>
      <c r="F16" s="4">
        <v>1815.51</v>
      </c>
      <c r="G16" s="16">
        <v>0.433</v>
      </c>
      <c r="H16" s="17">
        <v>75.617099999999994</v>
      </c>
      <c r="J16" s="4">
        <f t="shared" si="0"/>
        <v>862.19046507293956</v>
      </c>
      <c r="K16" s="5">
        <f t="shared" si="1"/>
        <v>0.85236464639161991</v>
      </c>
      <c r="L16" s="5">
        <f t="shared" si="2"/>
        <v>0</v>
      </c>
      <c r="M16" s="5">
        <f t="shared" si="3"/>
        <v>0</v>
      </c>
      <c r="N16" s="5">
        <f t="shared" si="4"/>
        <v>0.65545598825568929</v>
      </c>
      <c r="P16" s="3"/>
      <c r="Q16" s="3"/>
      <c r="R16" s="3"/>
      <c r="S16" s="3"/>
      <c r="T16" s="6"/>
      <c r="U16" s="6"/>
      <c r="V16" s="6"/>
      <c r="W16" s="6"/>
      <c r="X16" s="6"/>
      <c r="Y16" s="6"/>
      <c r="AA16" s="6"/>
    </row>
    <row r="17" spans="1:27" x14ac:dyDescent="0.3">
      <c r="A17">
        <v>1993</v>
      </c>
      <c r="B17" s="4"/>
      <c r="C17" s="4"/>
      <c r="D17" s="4">
        <v>259919</v>
      </c>
      <c r="E17" s="4">
        <v>123555.5</v>
      </c>
      <c r="F17" s="4">
        <v>1831.55</v>
      </c>
      <c r="G17" s="16">
        <v>0.45400000000000001</v>
      </c>
      <c r="H17" s="17">
        <v>75.419499999999999</v>
      </c>
      <c r="J17" s="4">
        <f t="shared" si="0"/>
        <v>870.64845596128032</v>
      </c>
      <c r="K17" s="5">
        <f t="shared" si="1"/>
        <v>0.85091636028060269</v>
      </c>
      <c r="L17" s="5">
        <f t="shared" si="2"/>
        <v>0</v>
      </c>
      <c r="M17" s="5">
        <f t="shared" si="3"/>
        <v>0</v>
      </c>
      <c r="N17" s="5">
        <f t="shared" si="4"/>
        <v>0.72906395872401153</v>
      </c>
      <c r="P17" s="3"/>
      <c r="Q17" s="3"/>
      <c r="R17" s="3"/>
      <c r="S17" s="3"/>
      <c r="T17" s="6"/>
      <c r="U17" s="6"/>
      <c r="V17" s="6"/>
      <c r="W17" s="6"/>
      <c r="X17" s="6"/>
      <c r="Y17" s="6"/>
      <c r="AA17" s="6"/>
    </row>
    <row r="18" spans="1:27" x14ac:dyDescent="0.3">
      <c r="A18">
        <v>1994</v>
      </c>
      <c r="B18" s="4"/>
      <c r="C18" s="4"/>
      <c r="D18" s="4">
        <v>263126</v>
      </c>
      <c r="E18" s="4">
        <v>126371.17200000001</v>
      </c>
      <c r="F18" s="4">
        <v>1850.24</v>
      </c>
      <c r="G18" s="16">
        <v>0.45600000000000002</v>
      </c>
      <c r="H18" s="17">
        <v>75.619500000000002</v>
      </c>
      <c r="J18" s="4">
        <f t="shared" si="0"/>
        <v>888.61228947834877</v>
      </c>
      <c r="K18" s="5">
        <f t="shared" si="1"/>
        <v>0.84784036139069374</v>
      </c>
      <c r="L18" s="5">
        <f t="shared" si="2"/>
        <v>0</v>
      </c>
      <c r="M18" s="5">
        <f t="shared" si="3"/>
        <v>0</v>
      </c>
      <c r="N18" s="5">
        <f t="shared" si="4"/>
        <v>0.7363526835357368</v>
      </c>
      <c r="P18" s="3"/>
      <c r="Q18" s="3"/>
      <c r="R18" s="3"/>
      <c r="S18" s="3"/>
      <c r="T18" s="6"/>
      <c r="U18" s="6"/>
      <c r="V18" s="6"/>
      <c r="W18" s="6"/>
      <c r="X18" s="6"/>
      <c r="Y18" s="6"/>
      <c r="AA18" s="6"/>
    </row>
    <row r="19" spans="1:27" x14ac:dyDescent="0.3">
      <c r="A19">
        <v>1995</v>
      </c>
      <c r="B19" s="4"/>
      <c r="C19" s="4"/>
      <c r="D19" s="4">
        <v>266278</v>
      </c>
      <c r="E19" s="4">
        <v>128259.57799999999</v>
      </c>
      <c r="F19" s="4">
        <v>1860.37</v>
      </c>
      <c r="G19" s="16">
        <v>0.45</v>
      </c>
      <c r="H19" s="17">
        <v>75.622</v>
      </c>
      <c r="J19" s="4">
        <f t="shared" si="0"/>
        <v>896.09457455689153</v>
      </c>
      <c r="K19" s="5">
        <f t="shared" si="1"/>
        <v>0.84655914819231315</v>
      </c>
      <c r="L19" s="5">
        <f t="shared" si="2"/>
        <v>0</v>
      </c>
      <c r="M19" s="5">
        <f t="shared" si="3"/>
        <v>0</v>
      </c>
      <c r="N19" s="5">
        <f t="shared" si="4"/>
        <v>0.71463433657263942</v>
      </c>
      <c r="P19" s="3"/>
      <c r="Q19" s="3"/>
      <c r="R19" s="3"/>
      <c r="S19" s="3"/>
      <c r="T19" s="6"/>
      <c r="U19" s="6"/>
      <c r="V19" s="6"/>
      <c r="W19" s="6"/>
      <c r="X19" s="6"/>
      <c r="Y19" s="6"/>
      <c r="AA19" s="6"/>
    </row>
    <row r="20" spans="1:27" x14ac:dyDescent="0.3">
      <c r="A20">
        <v>1996</v>
      </c>
      <c r="B20" s="4"/>
      <c r="C20" s="4"/>
      <c r="D20" s="4">
        <v>269394</v>
      </c>
      <c r="E20" s="4">
        <v>130133.17200000001</v>
      </c>
      <c r="F20" s="4">
        <v>1865.89</v>
      </c>
      <c r="G20" s="16">
        <v>0.45500000000000002</v>
      </c>
      <c r="H20" s="17">
        <v>76.026799999999994</v>
      </c>
      <c r="J20" s="4">
        <f t="shared" si="0"/>
        <v>901.33478957615989</v>
      </c>
      <c r="K20" s="5">
        <f t="shared" si="1"/>
        <v>0.84566185109997261</v>
      </c>
      <c r="L20" s="5">
        <f t="shared" si="2"/>
        <v>0</v>
      </c>
      <c r="M20" s="5">
        <f t="shared" si="3"/>
        <v>0</v>
      </c>
      <c r="N20" s="5">
        <f t="shared" si="4"/>
        <v>0.7327021293272743</v>
      </c>
      <c r="P20" s="3"/>
      <c r="Q20" s="3"/>
      <c r="R20" s="3"/>
      <c r="S20" s="3"/>
      <c r="T20" s="6"/>
      <c r="U20" s="6"/>
      <c r="V20" s="6"/>
      <c r="W20" s="6"/>
      <c r="X20" s="6"/>
      <c r="Y20" s="6"/>
      <c r="AA20" s="6"/>
    </row>
    <row r="21" spans="1:27" x14ac:dyDescent="0.3">
      <c r="A21">
        <v>1997</v>
      </c>
      <c r="B21" s="4"/>
      <c r="C21" s="4"/>
      <c r="D21" s="4">
        <v>272647</v>
      </c>
      <c r="E21" s="4">
        <v>133088.07800000001</v>
      </c>
      <c r="F21" s="4">
        <v>1872.51</v>
      </c>
      <c r="G21" s="16">
        <v>0.45900000000000002</v>
      </c>
      <c r="H21" s="17">
        <v>76.429299999999998</v>
      </c>
      <c r="J21" s="4">
        <f t="shared" si="0"/>
        <v>914.03447291105351</v>
      </c>
      <c r="K21" s="5">
        <f t="shared" si="1"/>
        <v>0.84348724778920314</v>
      </c>
      <c r="L21" s="5">
        <f t="shared" si="2"/>
        <v>0</v>
      </c>
      <c r="M21" s="5">
        <f t="shared" si="3"/>
        <v>0</v>
      </c>
      <c r="N21" s="5">
        <f t="shared" si="4"/>
        <v>0.74737904094733842</v>
      </c>
      <c r="P21" s="3"/>
      <c r="Q21" s="3"/>
      <c r="R21" s="3"/>
      <c r="S21" s="3"/>
      <c r="T21" s="6"/>
      <c r="U21" s="6"/>
      <c r="V21" s="6"/>
      <c r="W21" s="6"/>
      <c r="X21" s="6"/>
      <c r="Y21" s="6"/>
      <c r="AA21" s="6"/>
    </row>
    <row r="22" spans="1:27" x14ac:dyDescent="0.3">
      <c r="A22">
        <v>1998</v>
      </c>
      <c r="B22" s="4"/>
      <c r="C22" s="4"/>
      <c r="D22" s="4">
        <v>275854</v>
      </c>
      <c r="E22" s="4">
        <v>135107.67199999999</v>
      </c>
      <c r="F22" s="4">
        <v>1883.08</v>
      </c>
      <c r="G22" s="16">
        <v>0.45600000000000002</v>
      </c>
      <c r="H22" s="17">
        <v>76.580500000000001</v>
      </c>
      <c r="J22" s="4">
        <f t="shared" si="0"/>
        <v>922.29423894436911</v>
      </c>
      <c r="K22" s="5">
        <f t="shared" si="1"/>
        <v>0.84207290429034776</v>
      </c>
      <c r="L22" s="5">
        <f t="shared" si="2"/>
        <v>0</v>
      </c>
      <c r="M22" s="5">
        <f t="shared" si="3"/>
        <v>0</v>
      </c>
      <c r="N22" s="5">
        <f t="shared" si="4"/>
        <v>0.7363526835357368</v>
      </c>
      <c r="P22" s="3"/>
      <c r="Q22" s="3"/>
      <c r="R22" s="3"/>
      <c r="S22" s="3"/>
      <c r="T22" s="6"/>
      <c r="U22" s="6"/>
      <c r="V22" s="6"/>
      <c r="W22" s="6"/>
      <c r="X22" s="6"/>
      <c r="Y22" s="6"/>
      <c r="AA22" s="6"/>
    </row>
    <row r="23" spans="1:27" x14ac:dyDescent="0.3">
      <c r="A23">
        <v>1999</v>
      </c>
      <c r="B23" s="4"/>
      <c r="C23" s="4"/>
      <c r="D23" s="4">
        <v>279040</v>
      </c>
      <c r="E23" s="4">
        <v>137277.42199999999</v>
      </c>
      <c r="F23" s="4">
        <v>1886.01</v>
      </c>
      <c r="G23" s="16">
        <v>0.45800000000000002</v>
      </c>
      <c r="H23" s="17">
        <v>76.582899999999995</v>
      </c>
      <c r="J23" s="4">
        <f t="shared" si="0"/>
        <v>927.84758696323104</v>
      </c>
      <c r="K23" s="5">
        <f t="shared" si="1"/>
        <v>0.84112198853369335</v>
      </c>
      <c r="L23" s="5">
        <f t="shared" si="2"/>
        <v>0</v>
      </c>
      <c r="M23" s="5">
        <f t="shared" si="3"/>
        <v>0</v>
      </c>
      <c r="N23" s="5">
        <f t="shared" si="4"/>
        <v>0.74369109979378156</v>
      </c>
      <c r="P23" s="3"/>
      <c r="Q23" s="3"/>
      <c r="R23" s="3"/>
      <c r="S23" s="3"/>
      <c r="T23" s="6"/>
      <c r="U23" s="6"/>
      <c r="V23" s="6"/>
      <c r="W23" s="6"/>
      <c r="X23" s="6"/>
      <c r="Y23" s="6"/>
      <c r="AA23" s="6"/>
    </row>
    <row r="24" spans="1:27" x14ac:dyDescent="0.3">
      <c r="A24">
        <v>2000</v>
      </c>
      <c r="B24" s="4"/>
      <c r="C24" s="4"/>
      <c r="D24" s="4">
        <v>282162</v>
      </c>
      <c r="E24" s="4">
        <v>139141.5</v>
      </c>
      <c r="F24" s="4">
        <v>1887.58</v>
      </c>
      <c r="G24" s="18">
        <v>0.46200000000000002</v>
      </c>
      <c r="H24" s="19">
        <v>76.636600000000001</v>
      </c>
      <c r="J24" s="4">
        <f t="shared" si="0"/>
        <v>930.81532087949472</v>
      </c>
      <c r="K24" s="5">
        <f t="shared" si="1"/>
        <v>0.84061381491789477</v>
      </c>
      <c r="L24" s="5">
        <f t="shared" si="2"/>
        <v>0</v>
      </c>
      <c r="M24" s="5">
        <f t="shared" si="3"/>
        <v>0</v>
      </c>
      <c r="N24" s="5">
        <f t="shared" si="4"/>
        <v>0.75851827615427536</v>
      </c>
      <c r="P24" s="3"/>
      <c r="Q24" s="3"/>
      <c r="R24" s="3"/>
      <c r="S24" s="3"/>
      <c r="U24" s="6"/>
      <c r="V24" s="6"/>
      <c r="W24" s="6"/>
      <c r="X24" s="6"/>
      <c r="Y24" s="6"/>
      <c r="AA24" s="6"/>
    </row>
    <row r="25" spans="1:27" x14ac:dyDescent="0.3">
      <c r="A25">
        <v>2001</v>
      </c>
      <c r="B25" s="4"/>
      <c r="C25" s="4"/>
      <c r="D25" s="4">
        <v>284969</v>
      </c>
      <c r="E25" s="4">
        <v>139105.75</v>
      </c>
      <c r="F25" s="4">
        <v>1866.69</v>
      </c>
      <c r="G25" s="18">
        <v>0.46600000000000003</v>
      </c>
      <c r="H25" s="19">
        <v>76.836600000000004</v>
      </c>
      <c r="J25" s="4">
        <f t="shared" si="0"/>
        <v>911.21249142011936</v>
      </c>
      <c r="K25" s="5">
        <f t="shared" si="1"/>
        <v>0.84397046379792473</v>
      </c>
      <c r="L25" s="5">
        <f t="shared" si="2"/>
        <v>0</v>
      </c>
      <c r="M25" s="5">
        <f t="shared" si="3"/>
        <v>0</v>
      </c>
      <c r="N25" s="5">
        <f t="shared" si="4"/>
        <v>0.77354806543527532</v>
      </c>
      <c r="P25" s="3"/>
      <c r="Q25" s="3"/>
      <c r="R25" s="3"/>
      <c r="S25" s="3"/>
      <c r="U25" s="6"/>
      <c r="V25" s="6"/>
      <c r="W25" s="6"/>
      <c r="X25" s="6"/>
      <c r="Y25" s="6"/>
      <c r="AA25" s="6"/>
    </row>
    <row r="26" spans="1:27" x14ac:dyDescent="0.3">
      <c r="A26">
        <v>2002</v>
      </c>
      <c r="B26" s="4"/>
      <c r="C26" s="4"/>
      <c r="D26" s="4">
        <v>287625</v>
      </c>
      <c r="E26" s="4">
        <v>138600.5</v>
      </c>
      <c r="F26" s="4">
        <v>1847.99</v>
      </c>
      <c r="G26" s="18">
        <v>0.46200000000000002</v>
      </c>
      <c r="H26" s="19">
        <v>76.936599999999999</v>
      </c>
      <c r="J26" s="4">
        <f t="shared" si="0"/>
        <v>890.50791132551069</v>
      </c>
      <c r="K26" s="5">
        <f t="shared" si="1"/>
        <v>0.84751576860864541</v>
      </c>
      <c r="L26" s="5">
        <f t="shared" si="2"/>
        <v>0</v>
      </c>
      <c r="M26" s="5">
        <f t="shared" si="3"/>
        <v>0</v>
      </c>
      <c r="N26" s="5">
        <f t="shared" si="4"/>
        <v>0.75851827615427536</v>
      </c>
      <c r="P26" s="3"/>
      <c r="Q26" s="3"/>
      <c r="R26" s="3"/>
      <c r="S26" s="3"/>
      <c r="U26" s="6"/>
      <c r="V26" s="6"/>
      <c r="W26" s="6"/>
      <c r="X26" s="6"/>
      <c r="Y26" s="6"/>
      <c r="AA26" s="6"/>
    </row>
    <row r="27" spans="1:27" x14ac:dyDescent="0.3">
      <c r="A27">
        <v>2003</v>
      </c>
      <c r="B27" s="4"/>
      <c r="C27" s="4"/>
      <c r="D27" s="4">
        <v>290108</v>
      </c>
      <c r="E27" s="4">
        <v>139113.92199999999</v>
      </c>
      <c r="F27" s="4">
        <v>1832.54</v>
      </c>
      <c r="G27" s="18">
        <v>0.46400000000000002</v>
      </c>
      <c r="H27" s="19">
        <v>77.036600000000007</v>
      </c>
      <c r="J27" s="4">
        <f t="shared" si="0"/>
        <v>878.74800633515781</v>
      </c>
      <c r="K27" s="5">
        <f t="shared" si="1"/>
        <v>0.8495294509700072</v>
      </c>
      <c r="L27" s="5">
        <f t="shared" si="2"/>
        <v>0</v>
      </c>
      <c r="M27" s="5">
        <f t="shared" si="3"/>
        <v>0</v>
      </c>
      <c r="N27" s="5">
        <f t="shared" si="4"/>
        <v>0.76600768063580926</v>
      </c>
      <c r="P27" s="3"/>
      <c r="Q27" s="3"/>
      <c r="R27" s="3"/>
      <c r="S27" s="3"/>
      <c r="U27" s="6"/>
      <c r="V27" s="6"/>
      <c r="W27" s="6"/>
      <c r="X27" s="6"/>
      <c r="Y27" s="6"/>
      <c r="AA27" s="6"/>
    </row>
    <row r="28" spans="1:27" x14ac:dyDescent="0.3">
      <c r="A28">
        <v>2004</v>
      </c>
      <c r="B28" s="4"/>
      <c r="C28" s="4"/>
      <c r="D28" s="4">
        <v>292805</v>
      </c>
      <c r="E28" s="4">
        <v>140772.92199999999</v>
      </c>
      <c r="F28" s="4">
        <v>1831.55</v>
      </c>
      <c r="G28" s="18">
        <v>0.46600000000000003</v>
      </c>
      <c r="H28" s="19">
        <v>77.487799999999993</v>
      </c>
      <c r="J28" s="4">
        <f t="shared" si="0"/>
        <v>880.56093744676491</v>
      </c>
      <c r="K28" s="5">
        <f t="shared" si="1"/>
        <v>0.84921901756048546</v>
      </c>
      <c r="L28" s="5">
        <f t="shared" si="2"/>
        <v>0</v>
      </c>
      <c r="M28" s="5">
        <f t="shared" si="3"/>
        <v>0</v>
      </c>
      <c r="N28" s="5">
        <f t="shared" si="4"/>
        <v>0.77354806543527532</v>
      </c>
      <c r="P28" s="3"/>
      <c r="Q28" s="3"/>
      <c r="R28" s="3"/>
      <c r="S28" s="3"/>
      <c r="U28" s="6"/>
      <c r="V28" s="6"/>
      <c r="W28" s="6"/>
      <c r="X28" s="6"/>
      <c r="Y28" s="6"/>
      <c r="AA28" s="6"/>
    </row>
    <row r="29" spans="1:27" x14ac:dyDescent="0.3">
      <c r="A29">
        <v>2005</v>
      </c>
      <c r="B29" s="4"/>
      <c r="C29" s="4"/>
      <c r="D29" s="4">
        <v>295517</v>
      </c>
      <c r="E29" s="4">
        <v>143037.07800000001</v>
      </c>
      <c r="F29" s="4">
        <v>1829.11</v>
      </c>
      <c r="G29" s="18">
        <v>0.46899999999999997</v>
      </c>
      <c r="H29" s="19">
        <v>77.487799999999993</v>
      </c>
      <c r="J29" s="4">
        <f t="shared" si="0"/>
        <v>885.3316382495085</v>
      </c>
      <c r="K29" s="5">
        <f t="shared" si="1"/>
        <v>0.84840211673809784</v>
      </c>
      <c r="L29" s="5">
        <f t="shared" si="2"/>
        <v>0</v>
      </c>
      <c r="M29" s="5">
        <f t="shared" si="3"/>
        <v>0</v>
      </c>
      <c r="N29" s="5">
        <f t="shared" si="4"/>
        <v>0.78495495824871264</v>
      </c>
      <c r="P29" s="3"/>
      <c r="Q29" s="3"/>
      <c r="R29" s="3"/>
      <c r="S29" s="3"/>
      <c r="U29" s="6"/>
      <c r="V29" s="6"/>
      <c r="W29" s="6"/>
      <c r="X29" s="6"/>
      <c r="Y29" s="6"/>
      <c r="AA29" s="6"/>
    </row>
    <row r="30" spans="1:27" x14ac:dyDescent="0.3">
      <c r="A30">
        <v>2006</v>
      </c>
      <c r="B30" s="4"/>
      <c r="C30" s="4"/>
      <c r="D30" s="4">
        <v>298380</v>
      </c>
      <c r="E30" s="4">
        <v>145693.25</v>
      </c>
      <c r="F30" s="4">
        <v>1831.26</v>
      </c>
      <c r="G30" s="18">
        <v>0.47</v>
      </c>
      <c r="H30" s="19">
        <v>77.687799999999996</v>
      </c>
      <c r="J30" s="4">
        <f t="shared" si="0"/>
        <v>894.16925060325764</v>
      </c>
      <c r="K30" s="5">
        <f t="shared" si="1"/>
        <v>0.84688882695149692</v>
      </c>
      <c r="L30" s="5">
        <f t="shared" si="2"/>
        <v>0</v>
      </c>
      <c r="M30" s="5">
        <f t="shared" si="3"/>
        <v>0</v>
      </c>
      <c r="N30" s="5">
        <f t="shared" si="4"/>
        <v>0.78878310833952248</v>
      </c>
      <c r="P30" s="3"/>
      <c r="Q30" s="3"/>
      <c r="R30" s="3"/>
      <c r="S30" s="3"/>
      <c r="U30" s="6"/>
      <c r="V30" s="6"/>
      <c r="W30" s="6"/>
      <c r="X30" s="6"/>
      <c r="Y30" s="6"/>
      <c r="AA30" s="6"/>
    </row>
    <row r="31" spans="1:27" x14ac:dyDescent="0.3">
      <c r="A31">
        <v>2007</v>
      </c>
      <c r="B31" s="4"/>
      <c r="C31" s="4"/>
      <c r="D31" s="4">
        <v>301231</v>
      </c>
      <c r="E31" s="4">
        <v>146998.25</v>
      </c>
      <c r="F31" s="4">
        <v>1828.84</v>
      </c>
      <c r="G31" s="18">
        <v>0.46300000000000002</v>
      </c>
      <c r="H31" s="19">
        <v>77.987799999999993</v>
      </c>
      <c r="J31" s="4">
        <f t="shared" si="0"/>
        <v>892.45887551414023</v>
      </c>
      <c r="K31" s="5">
        <f t="shared" si="1"/>
        <v>0.84718169939826371</v>
      </c>
      <c r="L31" s="5">
        <f t="shared" si="2"/>
        <v>0</v>
      </c>
      <c r="M31" s="5">
        <f t="shared" si="3"/>
        <v>0</v>
      </c>
      <c r="N31" s="5">
        <f t="shared" si="4"/>
        <v>0.76225662645293213</v>
      </c>
      <c r="P31" s="3"/>
      <c r="Q31" s="3"/>
      <c r="R31" s="3"/>
      <c r="S31" s="3"/>
      <c r="U31" s="6"/>
      <c r="V31" s="6"/>
      <c r="W31" s="6"/>
      <c r="X31" s="6"/>
      <c r="Y31" s="6"/>
      <c r="AA31" s="6"/>
    </row>
    <row r="32" spans="1:27" x14ac:dyDescent="0.3">
      <c r="A32">
        <v>2008</v>
      </c>
      <c r="B32" s="4"/>
      <c r="C32" s="4"/>
      <c r="D32" s="4">
        <v>304094</v>
      </c>
      <c r="E32" s="4">
        <v>146820.25</v>
      </c>
      <c r="F32" s="4">
        <v>1808.99</v>
      </c>
      <c r="G32" s="18">
        <v>0.46600000000000003</v>
      </c>
      <c r="H32" s="19">
        <v>78.039000000000001</v>
      </c>
      <c r="J32" s="4">
        <f t="shared" si="0"/>
        <v>873.40218500693868</v>
      </c>
      <c r="K32" s="5">
        <f t="shared" si="1"/>
        <v>0.85044483133442828</v>
      </c>
      <c r="L32" s="5">
        <f t="shared" si="2"/>
        <v>0</v>
      </c>
      <c r="M32" s="5">
        <f t="shared" si="3"/>
        <v>0</v>
      </c>
      <c r="N32" s="5">
        <f t="shared" si="4"/>
        <v>0.77354806543527532</v>
      </c>
      <c r="P32" s="3"/>
      <c r="Q32" s="3"/>
      <c r="R32" s="3"/>
      <c r="S32" s="3"/>
      <c r="U32" s="6"/>
      <c r="V32" s="6"/>
      <c r="W32" s="6"/>
      <c r="X32" s="6"/>
      <c r="Y32" s="6"/>
      <c r="AA32" s="6"/>
    </row>
    <row r="33" spans="1:27" x14ac:dyDescent="0.3">
      <c r="A33">
        <v>2009</v>
      </c>
      <c r="B33" s="4"/>
      <c r="C33" s="4"/>
      <c r="D33" s="4">
        <v>306772</v>
      </c>
      <c r="E33" s="4">
        <v>141723.17199999999</v>
      </c>
      <c r="F33" s="4">
        <v>1764.89</v>
      </c>
      <c r="G33" s="18">
        <v>0.46800000000000003</v>
      </c>
      <c r="H33" s="19">
        <v>78.390199999999993</v>
      </c>
      <c r="J33" s="4">
        <f t="shared" si="0"/>
        <v>815.34758397467829</v>
      </c>
      <c r="K33" s="5">
        <f t="shared" si="1"/>
        <v>0.86038568767556878</v>
      </c>
      <c r="L33" s="5">
        <f t="shared" si="2"/>
        <v>0</v>
      </c>
      <c r="M33" s="5">
        <f t="shared" si="3"/>
        <v>0</v>
      </c>
      <c r="N33" s="5">
        <f t="shared" si="4"/>
        <v>0.7811397626257226</v>
      </c>
      <c r="P33" s="3"/>
      <c r="Q33" s="3"/>
      <c r="R33" s="3"/>
      <c r="S33" s="3"/>
      <c r="U33" s="6"/>
      <c r="V33" s="6"/>
      <c r="W33" s="6"/>
      <c r="X33" s="6"/>
      <c r="Y33" s="6"/>
      <c r="AA33" s="6"/>
    </row>
    <row r="34" spans="1:27" x14ac:dyDescent="0.3">
      <c r="A34">
        <v>2010</v>
      </c>
      <c r="B34" s="4"/>
      <c r="C34" s="4"/>
      <c r="D34" s="4">
        <v>309378</v>
      </c>
      <c r="E34" s="4">
        <v>141195.42199999999</v>
      </c>
      <c r="F34" s="4">
        <v>1773.37</v>
      </c>
      <c r="G34" s="18">
        <v>0.47</v>
      </c>
      <c r="H34" s="19">
        <v>78.541499999999999</v>
      </c>
      <c r="J34" s="4">
        <f t="shared" si="0"/>
        <v>809.33914341724358</v>
      </c>
      <c r="K34" s="5">
        <f t="shared" si="1"/>
        <v>0.86141453023677339</v>
      </c>
      <c r="L34" s="5">
        <f t="shared" si="2"/>
        <v>0</v>
      </c>
      <c r="M34" s="5">
        <f t="shared" si="3"/>
        <v>0</v>
      </c>
      <c r="N34" s="5">
        <f t="shared" si="4"/>
        <v>0.78878310833952248</v>
      </c>
      <c r="P34" s="3"/>
      <c r="Q34" s="3"/>
      <c r="R34" s="3"/>
      <c r="S34" s="3"/>
      <c r="U34" s="6"/>
      <c r="V34" s="6"/>
      <c r="W34" s="6"/>
      <c r="X34" s="6"/>
      <c r="Y34" s="6"/>
      <c r="AA34" s="6"/>
    </row>
    <row r="35" spans="1:27" x14ac:dyDescent="0.3">
      <c r="A35">
        <v>2011</v>
      </c>
      <c r="B35" s="4"/>
      <c r="C35" s="4"/>
      <c r="D35" s="4">
        <v>311839</v>
      </c>
      <c r="E35" s="4">
        <v>142581.82800000001</v>
      </c>
      <c r="F35" s="4">
        <v>1782.51</v>
      </c>
      <c r="G35" s="18">
        <v>0.47699999999999998</v>
      </c>
      <c r="H35" s="19">
        <v>78.641499999999994</v>
      </c>
      <c r="J35" s="4">
        <f t="shared" si="0"/>
        <v>815.01522974445152</v>
      </c>
      <c r="K35" s="5">
        <f t="shared" si="1"/>
        <v>0.860442597646498</v>
      </c>
      <c r="L35" s="5">
        <f t="shared" si="2"/>
        <v>0</v>
      </c>
      <c r="M35" s="5">
        <f t="shared" si="3"/>
        <v>0</v>
      </c>
      <c r="N35" s="5">
        <f t="shared" si="4"/>
        <v>0.81594650075604636</v>
      </c>
      <c r="P35" s="3"/>
      <c r="Q35" s="3"/>
      <c r="R35" s="3"/>
      <c r="S35" s="3"/>
      <c r="U35" s="6"/>
      <c r="V35" s="6"/>
      <c r="W35" s="6"/>
      <c r="X35" s="6"/>
      <c r="Y35" s="6"/>
      <c r="AA35" s="6"/>
    </row>
    <row r="36" spans="1:27" x14ac:dyDescent="0.3">
      <c r="A36">
        <v>2012</v>
      </c>
      <c r="B36" s="4"/>
      <c r="C36" s="4"/>
      <c r="D36" s="4">
        <v>314339</v>
      </c>
      <c r="E36" s="4">
        <v>145050.5</v>
      </c>
      <c r="F36" s="4">
        <v>1784.7</v>
      </c>
      <c r="G36" s="18">
        <v>0.47699999999999998</v>
      </c>
      <c r="H36" s="19">
        <v>78.741500000000002</v>
      </c>
      <c r="J36" s="4">
        <f t="shared" si="0"/>
        <v>823.54282271687566</v>
      </c>
      <c r="K36" s="5">
        <f t="shared" si="1"/>
        <v>0.85898239337039795</v>
      </c>
      <c r="L36" s="5">
        <f t="shared" si="2"/>
        <v>0</v>
      </c>
      <c r="M36" s="5">
        <f t="shared" si="3"/>
        <v>0</v>
      </c>
      <c r="N36" s="5">
        <f t="shared" si="4"/>
        <v>0.81594650075604636</v>
      </c>
      <c r="P36" s="3"/>
      <c r="Q36" s="3"/>
      <c r="R36" s="3"/>
      <c r="S36" s="3"/>
      <c r="U36" s="6"/>
      <c r="V36" s="6"/>
      <c r="W36" s="6"/>
      <c r="X36" s="6"/>
      <c r="Y36" s="6"/>
      <c r="AA36" s="6"/>
    </row>
    <row r="37" spans="1:27" x14ac:dyDescent="0.3">
      <c r="A37">
        <v>2013</v>
      </c>
      <c r="B37" s="4"/>
      <c r="C37" s="4"/>
      <c r="D37" s="4">
        <v>316726</v>
      </c>
      <c r="E37" s="4">
        <v>146462.67199999999</v>
      </c>
      <c r="F37" s="4">
        <v>1791.31</v>
      </c>
      <c r="G37" s="18">
        <v>0.48199999999999998</v>
      </c>
      <c r="H37" s="19">
        <v>78.741500000000002</v>
      </c>
      <c r="J37" s="4">
        <f t="shared" si="0"/>
        <v>828.35021116144549</v>
      </c>
      <c r="K37" s="5">
        <f t="shared" si="1"/>
        <v>0.85815921041756071</v>
      </c>
      <c r="L37" s="5">
        <f t="shared" si="2"/>
        <v>0</v>
      </c>
      <c r="M37" s="5">
        <f t="shared" si="3"/>
        <v>0</v>
      </c>
      <c r="N37" s="5">
        <f t="shared" si="4"/>
        <v>0.83574715202235994</v>
      </c>
      <c r="P37" s="3"/>
      <c r="Q37" s="3"/>
      <c r="R37" s="3"/>
      <c r="S37" s="3"/>
      <c r="U37" s="6"/>
      <c r="V37" s="6"/>
      <c r="W37" s="6"/>
      <c r="X37" s="6"/>
      <c r="Y37" s="6"/>
      <c r="AA37" s="6"/>
    </row>
    <row r="38" spans="1:27" x14ac:dyDescent="0.3">
      <c r="A38">
        <v>2014</v>
      </c>
      <c r="B38" s="4"/>
      <c r="C38" s="4"/>
      <c r="D38" s="4">
        <v>319258</v>
      </c>
      <c r="E38" s="4">
        <v>148838.92199999999</v>
      </c>
      <c r="F38" s="4">
        <v>1797.12</v>
      </c>
      <c r="G38" s="18">
        <v>0.48</v>
      </c>
      <c r="H38" s="19">
        <v>78.841499999999996</v>
      </c>
      <c r="J38" s="4">
        <f t="shared" si="0"/>
        <v>837.82208591371239</v>
      </c>
      <c r="K38" s="5">
        <f t="shared" si="1"/>
        <v>0.85653731405587119</v>
      </c>
      <c r="L38" s="5">
        <f t="shared" si="2"/>
        <v>0</v>
      </c>
      <c r="M38" s="5">
        <f t="shared" si="3"/>
        <v>0</v>
      </c>
      <c r="N38" s="5">
        <f t="shared" si="4"/>
        <v>0.82778662128035341</v>
      </c>
      <c r="P38" s="3"/>
      <c r="Q38" s="3"/>
      <c r="R38" s="3"/>
      <c r="S38" s="3"/>
      <c r="U38" s="6"/>
      <c r="V38" s="6"/>
      <c r="W38" s="6"/>
      <c r="X38" s="6"/>
      <c r="Y38" s="6"/>
      <c r="AA38" s="6"/>
    </row>
    <row r="39" spans="1:27" x14ac:dyDescent="0.3">
      <c r="A39">
        <v>2015</v>
      </c>
      <c r="B39" s="4"/>
      <c r="C39" s="4"/>
      <c r="D39" s="4">
        <v>321815</v>
      </c>
      <c r="E39" s="4">
        <v>151048</v>
      </c>
      <c r="F39" s="4">
        <v>1808.72</v>
      </c>
      <c r="G39" s="18">
        <v>0.47899999999999998</v>
      </c>
      <c r="H39" s="19">
        <v>78.690200000000004</v>
      </c>
      <c r="J39" s="4">
        <f t="shared" si="0"/>
        <v>848.94594273107225</v>
      </c>
      <c r="K39" s="5">
        <f t="shared" si="1"/>
        <v>0.85463254405289857</v>
      </c>
      <c r="L39" s="5">
        <f t="shared" si="2"/>
        <v>0</v>
      </c>
      <c r="M39" s="5">
        <f t="shared" si="3"/>
        <v>0</v>
      </c>
      <c r="N39" s="5">
        <f t="shared" si="4"/>
        <v>0.82382653639218772</v>
      </c>
      <c r="P39" s="3"/>
      <c r="Q39" s="3"/>
      <c r="R39" s="3"/>
      <c r="S39" s="3"/>
      <c r="U39" s="6"/>
      <c r="V39" s="6"/>
      <c r="W39" s="6"/>
      <c r="X39" s="6"/>
      <c r="Y39" s="6"/>
      <c r="AA39" s="6"/>
    </row>
    <row r="40" spans="1:27" x14ac:dyDescent="0.3">
      <c r="A40">
        <v>2016</v>
      </c>
      <c r="B40" s="4"/>
      <c r="C40" s="4"/>
      <c r="D40" s="4">
        <v>324353</v>
      </c>
      <c r="E40" s="4">
        <v>153398.57800000001</v>
      </c>
      <c r="F40" s="4">
        <v>1802.6</v>
      </c>
      <c r="G40" s="18">
        <v>0.48099999999999998</v>
      </c>
      <c r="H40" s="19">
        <v>78.539000000000001</v>
      </c>
      <c r="J40" s="4">
        <f t="shared" si="0"/>
        <v>852.51647650183588</v>
      </c>
      <c r="K40" s="5">
        <f t="shared" si="1"/>
        <v>0.85402115128393219</v>
      </c>
      <c r="L40" s="5">
        <f t="shared" si="2"/>
        <v>0</v>
      </c>
      <c r="M40" s="5">
        <f t="shared" si="3"/>
        <v>0</v>
      </c>
      <c r="N40" s="5">
        <f t="shared" si="4"/>
        <v>0.83176014460825232</v>
      </c>
      <c r="P40" s="3"/>
      <c r="Q40" s="3"/>
      <c r="R40" s="3"/>
      <c r="S40" s="3"/>
      <c r="U40" s="6"/>
      <c r="V40" s="6"/>
      <c r="W40" s="6"/>
      <c r="X40" s="6"/>
      <c r="Y40" s="6"/>
      <c r="AA40" s="6"/>
    </row>
    <row r="41" spans="1:27" x14ac:dyDescent="0.3">
      <c r="A41">
        <v>2017</v>
      </c>
      <c r="B41" s="4"/>
      <c r="C41" s="4"/>
      <c r="D41" s="4">
        <v>326609</v>
      </c>
      <c r="E41" s="4">
        <v>155799.25</v>
      </c>
      <c r="F41" s="4">
        <v>1795.58</v>
      </c>
      <c r="G41" s="18">
        <v>0.48899999999999999</v>
      </c>
      <c r="H41" s="19">
        <v>78.539000000000001</v>
      </c>
      <c r="J41" s="4">
        <f t="shared" si="0"/>
        <v>856.52880758031779</v>
      </c>
      <c r="K41" s="5">
        <f t="shared" si="1"/>
        <v>0.8533341082910415</v>
      </c>
      <c r="L41" s="5">
        <f t="shared" si="2"/>
        <v>0</v>
      </c>
      <c r="M41" s="5">
        <f t="shared" si="3"/>
        <v>0</v>
      </c>
      <c r="N41" s="5">
        <f t="shared" si="4"/>
        <v>0.86403765282453271</v>
      </c>
      <c r="P41" s="3"/>
      <c r="Q41" s="3"/>
      <c r="R41" s="3"/>
      <c r="S41" s="3"/>
      <c r="U41" s="6"/>
      <c r="V41" s="6"/>
      <c r="W41" s="6"/>
      <c r="X41" s="6"/>
      <c r="Y41" s="6"/>
      <c r="AA41" s="6"/>
    </row>
    <row r="42" spans="1:27" x14ac:dyDescent="0.3">
      <c r="A42">
        <v>2018</v>
      </c>
      <c r="B42" s="4"/>
      <c r="C42" s="4"/>
      <c r="D42" s="4">
        <v>328530</v>
      </c>
      <c r="E42" s="4">
        <v>157928.25</v>
      </c>
      <c r="F42" s="4">
        <v>1804.19</v>
      </c>
      <c r="G42" s="18">
        <v>0.48599999999999999</v>
      </c>
      <c r="H42" s="19">
        <v>78.638999999999996</v>
      </c>
      <c r="J42" s="4">
        <f t="shared" si="0"/>
        <v>867.29543532554112</v>
      </c>
      <c r="K42" s="5">
        <f t="shared" si="1"/>
        <v>0.85149050764973611</v>
      </c>
      <c r="L42" s="5">
        <f t="shared" si="2"/>
        <v>0</v>
      </c>
      <c r="M42" s="5">
        <f t="shared" si="3"/>
        <v>0</v>
      </c>
      <c r="N42" s="5">
        <f t="shared" si="4"/>
        <v>0.85183094545495475</v>
      </c>
      <c r="P42" s="3"/>
      <c r="Q42" s="3"/>
      <c r="R42" s="3"/>
      <c r="S42" s="3"/>
      <c r="U42" s="6"/>
      <c r="V42" s="6"/>
      <c r="W42" s="6"/>
      <c r="X42" s="6"/>
      <c r="Y42" s="6"/>
      <c r="AA42" s="6"/>
    </row>
    <row r="43" spans="1:27" x14ac:dyDescent="0.3">
      <c r="A43">
        <v>2019</v>
      </c>
      <c r="B43" s="4"/>
      <c r="C43" s="4"/>
      <c r="D43" s="4">
        <v>330226</v>
      </c>
      <c r="E43" s="4">
        <v>160252.82800000001</v>
      </c>
      <c r="F43" s="4">
        <v>1796.65</v>
      </c>
      <c r="G43" s="18">
        <v>0.48399999999999999</v>
      </c>
      <c r="H43" s="19">
        <v>78.787800000000004</v>
      </c>
      <c r="J43" s="4">
        <f t="shared" si="0"/>
        <v>871.88241818088227</v>
      </c>
      <c r="K43" s="5">
        <f t="shared" si="1"/>
        <v>0.85070506537998591</v>
      </c>
      <c r="L43" s="5">
        <f t="shared" si="2"/>
        <v>0</v>
      </c>
      <c r="M43" s="5">
        <f t="shared" si="3"/>
        <v>0</v>
      </c>
      <c r="N43" s="5">
        <f t="shared" si="4"/>
        <v>0.84376180311708526</v>
      </c>
      <c r="P43" s="3"/>
      <c r="Q43" s="3"/>
      <c r="R43" s="3"/>
      <c r="S43" s="3"/>
      <c r="U43" s="6"/>
      <c r="V43" s="6"/>
      <c r="W43" s="6"/>
      <c r="X43" s="6"/>
      <c r="Y43" s="6"/>
      <c r="AA43" s="6"/>
    </row>
    <row r="44" spans="1:27" x14ac:dyDescent="0.3">
      <c r="A44">
        <v>2020</v>
      </c>
      <c r="B44" s="4"/>
      <c r="C44" s="4"/>
      <c r="D44" s="4">
        <v>331578</v>
      </c>
      <c r="E44" s="4">
        <v>151352.75</v>
      </c>
      <c r="F44" s="4">
        <v>1777.88</v>
      </c>
      <c r="G44" s="18">
        <v>0.48799999999999999</v>
      </c>
      <c r="H44" s="19">
        <v>76.980500000000006</v>
      </c>
      <c r="J44" s="4">
        <f t="shared" si="0"/>
        <v>811.53462283384306</v>
      </c>
      <c r="K44" s="5">
        <f t="shared" si="1"/>
        <v>0.86103859198050636</v>
      </c>
      <c r="L44" s="5">
        <f t="shared" si="2"/>
        <v>0</v>
      </c>
      <c r="M44" s="5">
        <f t="shared" si="3"/>
        <v>0</v>
      </c>
      <c r="N44" s="5">
        <f t="shared" si="4"/>
        <v>0.85995495457557625</v>
      </c>
      <c r="P44" s="3"/>
      <c r="Q44" s="3"/>
      <c r="R44" s="3"/>
      <c r="S44" s="3"/>
      <c r="U44" s="6"/>
      <c r="V44" s="6"/>
      <c r="W44" s="6"/>
      <c r="X44" s="6"/>
      <c r="Y44" s="6"/>
      <c r="AA44" s="6"/>
    </row>
    <row r="45" spans="1:27" x14ac:dyDescent="0.3">
      <c r="A45">
        <v>2021</v>
      </c>
      <c r="B45" s="4"/>
      <c r="C45" s="4"/>
      <c r="D45" s="4">
        <v>332100</v>
      </c>
      <c r="E45" s="4">
        <v>157049.07800000001</v>
      </c>
      <c r="F45" s="4">
        <v>1788.7</v>
      </c>
      <c r="G45" s="18">
        <v>0.49399999999999999</v>
      </c>
      <c r="H45" s="19">
        <v>76.329300000000003</v>
      </c>
      <c r="J45" s="4">
        <f t="shared" si="0"/>
        <v>845.87077933935564</v>
      </c>
      <c r="K45" s="5">
        <f t="shared" si="1"/>
        <v>0.85515911312682269</v>
      </c>
      <c r="L45" s="5">
        <f t="shared" si="2"/>
        <v>0</v>
      </c>
      <c r="M45" s="5">
        <f t="shared" si="3"/>
        <v>0</v>
      </c>
      <c r="N45" s="5">
        <f t="shared" si="4"/>
        <v>0.88466000929295352</v>
      </c>
      <c r="P45" s="3"/>
      <c r="Q45" s="3"/>
      <c r="R45" s="3"/>
      <c r="S45" s="3"/>
      <c r="U45" s="6"/>
      <c r="V45" s="6"/>
      <c r="W45" s="6"/>
      <c r="X45" s="6"/>
      <c r="Y45" s="6"/>
      <c r="AA45" s="6"/>
    </row>
    <row r="46" spans="1:27" x14ac:dyDescent="0.3">
      <c r="A46">
        <v>2022</v>
      </c>
      <c r="B46" s="4"/>
      <c r="C46" s="4"/>
      <c r="D46" s="4">
        <v>334017</v>
      </c>
      <c r="E46" s="4">
        <v>161934.17199999999</v>
      </c>
      <c r="F46" s="4">
        <v>1789.59</v>
      </c>
      <c r="G46" s="18">
        <v>0.48799999999999999</v>
      </c>
      <c r="H46" s="19">
        <v>77.434100000000001</v>
      </c>
      <c r="J46" s="4">
        <f t="shared" si="0"/>
        <v>867.60786088576322</v>
      </c>
      <c r="K46" s="5">
        <f t="shared" si="1"/>
        <v>0.85143701012230077</v>
      </c>
      <c r="L46" s="5">
        <f t="shared" si="2"/>
        <v>0</v>
      </c>
      <c r="M46" s="5">
        <f t="shared" si="3"/>
        <v>0</v>
      </c>
      <c r="N46" s="5">
        <f t="shared" si="4"/>
        <v>0.85995495457557625</v>
      </c>
      <c r="P46" s="3"/>
      <c r="Q46" s="3"/>
      <c r="R46" s="3"/>
      <c r="S46" s="3"/>
      <c r="U46" s="6"/>
      <c r="V46" s="6"/>
      <c r="W46" s="6"/>
      <c r="X46" s="6"/>
      <c r="Y46" s="6"/>
      <c r="AA46" s="6"/>
    </row>
    <row r="47" spans="1:27" x14ac:dyDescent="0.3">
      <c r="A47">
        <v>2023</v>
      </c>
      <c r="B47" s="4"/>
      <c r="C47" s="4"/>
      <c r="D47" s="4">
        <v>336806</v>
      </c>
      <c r="E47" s="4">
        <v>164285.641</v>
      </c>
      <c r="F47" s="4">
        <v>1788.88</v>
      </c>
      <c r="G47" s="18">
        <v>0.48499999999999999</v>
      </c>
      <c r="H47" s="19">
        <v>78.385400000000004</v>
      </c>
      <c r="J47" s="4">
        <f t="shared" si="0"/>
        <v>872.5714431217973</v>
      </c>
      <c r="K47" s="5">
        <f t="shared" si="1"/>
        <v>0.85058708165722652</v>
      </c>
      <c r="L47" s="5">
        <f t="shared" si="2"/>
        <v>0</v>
      </c>
      <c r="M47" s="5">
        <f t="shared" si="3"/>
        <v>0</v>
      </c>
      <c r="N47" s="5">
        <f t="shared" si="4"/>
        <v>0.84778953951920433</v>
      </c>
      <c r="P47" s="3"/>
      <c r="Q47" s="3"/>
      <c r="R47" s="3"/>
      <c r="S47" s="3"/>
      <c r="U47" s="6"/>
      <c r="V47" s="6"/>
      <c r="W47" s="6"/>
      <c r="X47" s="6"/>
      <c r="Y47" s="6"/>
      <c r="AA47" s="6"/>
    </row>
    <row r="48" spans="1:27" x14ac:dyDescent="0.3">
      <c r="A48">
        <v>2024</v>
      </c>
      <c r="B48" s="4"/>
      <c r="C48" s="4"/>
      <c r="D48" s="4">
        <v>340111</v>
      </c>
      <c r="E48" s="4">
        <v>165215.5</v>
      </c>
      <c r="F48" s="4">
        <v>1796.05</v>
      </c>
      <c r="G48" s="18">
        <v>0.48899999999999999</v>
      </c>
      <c r="H48" s="19">
        <v>78.890199999999993</v>
      </c>
      <c r="J48" s="4">
        <f t="shared" si="0"/>
        <v>872.46604424731913</v>
      </c>
      <c r="K48" s="5">
        <f t="shared" si="1"/>
        <v>0.85060512940970567</v>
      </c>
      <c r="L48" s="5">
        <f t="shared" si="2"/>
        <v>0</v>
      </c>
      <c r="M48" s="5">
        <f t="shared" si="3"/>
        <v>0</v>
      </c>
      <c r="N48" s="5">
        <f t="shared" si="4"/>
        <v>0.86403765282453271</v>
      </c>
      <c r="P48" s="3"/>
      <c r="Q48" s="3"/>
      <c r="R48" s="3"/>
      <c r="S48" s="3"/>
      <c r="U48" s="6"/>
      <c r="V48" s="6"/>
      <c r="W48" s="6"/>
      <c r="X48" s="6"/>
      <c r="Y48" s="6"/>
      <c r="AA48" s="6"/>
    </row>
    <row r="49" spans="1:27" x14ac:dyDescent="0.3">
      <c r="A49">
        <v>2025</v>
      </c>
      <c r="B49" s="4"/>
      <c r="C49" s="4"/>
      <c r="D49" s="4">
        <v>341931.78</v>
      </c>
      <c r="E49" s="20">
        <v>165215.5</v>
      </c>
      <c r="F49" s="4">
        <v>1795.93</v>
      </c>
      <c r="G49" s="18">
        <v>0.49</v>
      </c>
      <c r="H49" s="21">
        <v>78.890199999999993</v>
      </c>
      <c r="J49" s="4">
        <f>F49*E49/D49</f>
        <v>867.76219781325972</v>
      </c>
      <c r="K49" s="5">
        <f t="shared" si="1"/>
        <v>0.8514105825662226</v>
      </c>
      <c r="L49" s="5">
        <f t="shared" si="2"/>
        <v>0</v>
      </c>
      <c r="M49" s="5">
        <f t="shared" si="3"/>
        <v>0</v>
      </c>
      <c r="N49" s="5">
        <f t="shared" si="4"/>
        <v>0.86813421073988684</v>
      </c>
      <c r="P49" s="3"/>
      <c r="Q49" s="3"/>
      <c r="R49" s="3"/>
      <c r="S49" s="3"/>
      <c r="U49" s="6"/>
      <c r="V49" s="6"/>
      <c r="W49" s="6"/>
      <c r="X49" s="6"/>
      <c r="Y49" s="6"/>
      <c r="AA49" s="6"/>
    </row>
    <row r="50" spans="1:27" x14ac:dyDescent="0.3">
      <c r="B50" s="4"/>
      <c r="C50" s="4"/>
      <c r="D50" s="4"/>
      <c r="E50" s="4"/>
      <c r="F50" s="4"/>
      <c r="G50" s="8"/>
      <c r="H50" s="9"/>
      <c r="J50" s="4"/>
      <c r="K50" s="5"/>
      <c r="L50" s="5"/>
      <c r="M50" s="5"/>
      <c r="N50" s="5"/>
      <c r="P50" s="3"/>
      <c r="Q50" s="3"/>
      <c r="R50" s="3"/>
      <c r="S50" s="3"/>
      <c r="U50" s="6"/>
      <c r="V50" s="6"/>
      <c r="W50" s="6"/>
      <c r="X50" s="6"/>
      <c r="Y50" s="6"/>
      <c r="AA50" s="6"/>
    </row>
    <row r="51" spans="1:27" ht="129.6" x14ac:dyDescent="0.3">
      <c r="A51" t="s">
        <v>35</v>
      </c>
      <c r="B51" s="4" t="s">
        <v>36</v>
      </c>
      <c r="C51" s="4" t="s">
        <v>37</v>
      </c>
      <c r="D51" s="4" t="s">
        <v>38</v>
      </c>
      <c r="E51" s="4" t="s">
        <v>38</v>
      </c>
      <c r="F51" s="4" t="s">
        <v>38</v>
      </c>
      <c r="G51" s="8" t="s">
        <v>39</v>
      </c>
      <c r="H51" s="9" t="s">
        <v>40</v>
      </c>
      <c r="J51" s="4"/>
      <c r="K51" s="5"/>
      <c r="L51" s="5"/>
      <c r="M51" s="5"/>
      <c r="N51" s="5"/>
      <c r="P51" s="3"/>
      <c r="Q51" s="3"/>
      <c r="R51" s="3"/>
      <c r="S51" s="3"/>
      <c r="U51" s="6"/>
      <c r="V51" s="6"/>
      <c r="W51" s="6"/>
      <c r="X51" s="6"/>
      <c r="Y51" s="6"/>
      <c r="AA51" s="6"/>
    </row>
    <row r="52" spans="1:27" x14ac:dyDescent="0.3">
      <c r="A52" t="s">
        <v>41</v>
      </c>
      <c r="B52" t="s">
        <v>42</v>
      </c>
    </row>
    <row r="53" spans="1:27" x14ac:dyDescent="0.3">
      <c r="B53" t="s">
        <v>43</v>
      </c>
      <c r="D53" s="15"/>
    </row>
    <row r="55" spans="1:27" x14ac:dyDescent="0.3">
      <c r="S55" t="s">
        <v>44</v>
      </c>
      <c r="U55" s="13"/>
      <c r="V55" s="13"/>
      <c r="W55" s="13"/>
      <c r="X55" s="13"/>
      <c r="Y55" s="13"/>
      <c r="Z55" s="13"/>
      <c r="AA55" s="13"/>
    </row>
    <row r="56" spans="1:27" x14ac:dyDescent="0.3">
      <c r="S56" t="s">
        <v>45</v>
      </c>
      <c r="U56" s="22">
        <f>U31</f>
        <v>0</v>
      </c>
      <c r="V56" s="22">
        <f>V31</f>
        <v>0</v>
      </c>
      <c r="W56" s="22">
        <f>W31</f>
        <v>0</v>
      </c>
      <c r="X56" s="22">
        <f>X31</f>
        <v>0</v>
      </c>
      <c r="Y56" s="22">
        <f>Y31</f>
        <v>0</v>
      </c>
      <c r="Z56" s="22"/>
      <c r="AA56" s="22">
        <f>AA31</f>
        <v>0</v>
      </c>
    </row>
    <row r="57" spans="1:27" x14ac:dyDescent="0.3">
      <c r="S57" t="s">
        <v>46</v>
      </c>
      <c r="U57" s="22">
        <f>U49</f>
        <v>0</v>
      </c>
      <c r="V57" s="22">
        <f>V49</f>
        <v>0</v>
      </c>
      <c r="W57" s="22">
        <f>W49</f>
        <v>0</v>
      </c>
      <c r="X57" s="22">
        <f>X49</f>
        <v>0</v>
      </c>
      <c r="Y57" s="22">
        <f>Y49</f>
        <v>0</v>
      </c>
      <c r="Z57" s="22"/>
      <c r="AA57" s="22">
        <f>AA49</f>
        <v>0</v>
      </c>
    </row>
    <row r="58" spans="1:27" x14ac:dyDescent="0.3">
      <c r="S58" t="s">
        <v>47</v>
      </c>
      <c r="U58" s="5">
        <f>U57-U56</f>
        <v>0</v>
      </c>
      <c r="V58" s="5">
        <f>V57-V56</f>
        <v>0</v>
      </c>
      <c r="W58" s="5">
        <f>W57-W56</f>
        <v>0</v>
      </c>
      <c r="X58" s="5">
        <f>X57-X56</f>
        <v>0</v>
      </c>
      <c r="Y58" s="5">
        <f>Y57-Y56</f>
        <v>0</v>
      </c>
      <c r="Z58" s="5"/>
      <c r="AA58" s="5">
        <f>AA57-AA56</f>
        <v>0</v>
      </c>
    </row>
    <row r="59" spans="1:27" x14ac:dyDescent="0.3">
      <c r="S59" t="s">
        <v>48</v>
      </c>
      <c r="U59" s="5"/>
      <c r="V59" s="5"/>
      <c r="W59" s="5"/>
      <c r="X59" s="5"/>
      <c r="Y59" s="5"/>
      <c r="Z59" s="5"/>
      <c r="AA59" s="5"/>
    </row>
    <row r="60" spans="1:27" x14ac:dyDescent="0.3">
      <c r="S60" t="s">
        <v>49</v>
      </c>
      <c r="U60" s="5">
        <f>U56/28*100</f>
        <v>0</v>
      </c>
      <c r="V60" s="5">
        <f>V56/28*100</f>
        <v>0</v>
      </c>
      <c r="W60" s="5">
        <f>W56/28*100</f>
        <v>0</v>
      </c>
      <c r="X60" s="5">
        <f>X56/28*100</f>
        <v>0</v>
      </c>
      <c r="Y60" s="5">
        <f>Y56/28*100</f>
        <v>0</v>
      </c>
      <c r="Z60" s="5"/>
      <c r="AA60" s="5">
        <f>AA56/28*100</f>
        <v>0</v>
      </c>
    </row>
    <row r="61" spans="1:27" x14ac:dyDescent="0.3">
      <c r="S61" t="s">
        <v>47</v>
      </c>
      <c r="U61" s="5">
        <f>U58/18*100</f>
        <v>0</v>
      </c>
      <c r="V61" s="5">
        <f>V58/18*100</f>
        <v>0</v>
      </c>
      <c r="W61" s="5">
        <f>W58/18*100</f>
        <v>0</v>
      </c>
      <c r="X61" s="5">
        <f>X58/18*100</f>
        <v>0</v>
      </c>
      <c r="Y61" s="5">
        <f>Y58/18*100</f>
        <v>0</v>
      </c>
      <c r="Z61" s="5"/>
      <c r="AA61" s="5">
        <f>AA58/18*100</f>
        <v>0</v>
      </c>
    </row>
    <row r="62" spans="1:27" x14ac:dyDescent="0.3">
      <c r="Y62" s="11"/>
      <c r="Z62" s="11"/>
      <c r="AA62" s="11"/>
    </row>
    <row r="70" spans="21:26" x14ac:dyDescent="0.3">
      <c r="U70" s="14"/>
    </row>
    <row r="71" spans="21:26" x14ac:dyDescent="0.3">
      <c r="V71" s="14"/>
    </row>
    <row r="72" spans="21:26" x14ac:dyDescent="0.3">
      <c r="W72" s="14"/>
      <c r="X72" s="14"/>
      <c r="Y72" s="14"/>
      <c r="Z72" s="14"/>
    </row>
  </sheetData>
  <mergeCells count="5">
    <mergeCell ref="B1:H1"/>
    <mergeCell ref="AC1:AD1"/>
    <mergeCell ref="U1:Y1"/>
    <mergeCell ref="P1:S1"/>
    <mergeCell ref="J1:O1"/>
  </mergeCells>
  <pageMargins left="0.7" right="0.7" top="0.75" bottom="0.75" header="0.3" footer="0.3"/>
  <pageSetup orientation="landscape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Olson</dc:creator>
  <cp:lastModifiedBy>Adam Looney</cp:lastModifiedBy>
  <cp:lastPrinted>2016-10-18T17:53:25Z</cp:lastPrinted>
  <dcterms:created xsi:type="dcterms:W3CDTF">2016-09-30T15:14:22Z</dcterms:created>
  <dcterms:modified xsi:type="dcterms:W3CDTF">2026-09-23T19:19:50Z</dcterms:modified>
</cp:coreProperties>
</file>